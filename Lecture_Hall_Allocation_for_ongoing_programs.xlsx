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vindu Silpage\Documents\OD\Updated One\files\"/>
    </mc:Choice>
  </mc:AlternateContent>
  <xr:revisionPtr revIDLastSave="0" documentId="13_ncr:1_{FFFA95A0-DE0F-4E56-BC5D-BE992F2BE047}" xr6:coauthVersionLast="47" xr6:coauthVersionMax="47" xr10:uidLastSave="{00000000-0000-0000-0000-000000000000}"/>
  <bookViews>
    <workbookView xWindow="-120" yWindow="-120" windowWidth="20730" windowHeight="11160" tabRatio="500" firstSheet="1" activeTab="3" xr2:uid="{00000000-000D-0000-FFFF-FFFF00000000}"/>
  </bookViews>
  <sheets>
    <sheet name="Dashboard" sheetId="1" r:id="rId1"/>
    <sheet name="Monthly Summary" sheetId="2" r:id="rId2"/>
    <sheet name="Lecture Hall Availability" sheetId="3" r:id="rId3"/>
    <sheet name="Hall Availability Search" sheetId="4" r:id="rId4"/>
    <sheet name="Class Schedule Analysis" sheetId="5" r:id="rId5"/>
    <sheet name="Monthly Occurrences (Support)" sheetId="6" r:id="rId6"/>
    <sheet name="Completed vs Planned" sheetId="7" r:id="rId7"/>
    <sheet name="Source Data" sheetId="8" r:id="rId8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6" i="6" l="1"/>
  <c r="E166" i="6"/>
  <c r="D166" i="6"/>
  <c r="C166" i="6"/>
  <c r="B166" i="6"/>
  <c r="A166" i="6"/>
  <c r="F165" i="6"/>
  <c r="E165" i="6"/>
  <c r="D165" i="6"/>
  <c r="C165" i="6"/>
  <c r="B165" i="6"/>
  <c r="A165" i="6"/>
  <c r="F164" i="6"/>
  <c r="E164" i="6"/>
  <c r="D164" i="6"/>
  <c r="C164" i="6"/>
  <c r="B164" i="6"/>
  <c r="A164" i="6"/>
  <c r="F163" i="6"/>
  <c r="E163" i="6"/>
  <c r="D163" i="6"/>
  <c r="C163" i="6"/>
  <c r="B163" i="6"/>
  <c r="A163" i="6"/>
  <c r="F162" i="6"/>
  <c r="E162" i="6"/>
  <c r="D162" i="6"/>
  <c r="C162" i="6"/>
  <c r="B162" i="6"/>
  <c r="A162" i="6"/>
  <c r="F161" i="6"/>
  <c r="E161" i="6"/>
  <c r="D161" i="6"/>
  <c r="C161" i="6"/>
  <c r="B161" i="6"/>
  <c r="A161" i="6"/>
  <c r="F160" i="6"/>
  <c r="E160" i="6"/>
  <c r="D160" i="6"/>
  <c r="C160" i="6"/>
  <c r="B160" i="6"/>
  <c r="A160" i="6"/>
  <c r="F159" i="6"/>
  <c r="E159" i="6"/>
  <c r="D159" i="6"/>
  <c r="C159" i="6"/>
  <c r="B159" i="6"/>
  <c r="A159" i="6"/>
  <c r="F158" i="6"/>
  <c r="E158" i="6"/>
  <c r="D158" i="6"/>
  <c r="C158" i="6"/>
  <c r="B158" i="6"/>
  <c r="A158" i="6"/>
  <c r="F157" i="6"/>
  <c r="E157" i="6"/>
  <c r="D157" i="6"/>
  <c r="C157" i="6"/>
  <c r="B157" i="6"/>
  <c r="A157" i="6"/>
  <c r="F156" i="6"/>
  <c r="E156" i="6"/>
  <c r="D156" i="6"/>
  <c r="C156" i="6"/>
  <c r="B156" i="6"/>
  <c r="A156" i="6"/>
  <c r="F155" i="6"/>
  <c r="E155" i="6"/>
  <c r="D155" i="6"/>
  <c r="C155" i="6"/>
  <c r="B155" i="6"/>
  <c r="A155" i="6"/>
  <c r="F154" i="6"/>
  <c r="E154" i="6"/>
  <c r="D154" i="6"/>
  <c r="C154" i="6"/>
  <c r="B154" i="6"/>
  <c r="A154" i="6"/>
  <c r="F153" i="6"/>
  <c r="E153" i="6"/>
  <c r="D153" i="6"/>
  <c r="C153" i="6"/>
  <c r="B153" i="6"/>
  <c r="A153" i="6"/>
  <c r="F152" i="6"/>
  <c r="E152" i="6"/>
  <c r="D152" i="6"/>
  <c r="C152" i="6"/>
  <c r="B152" i="6"/>
  <c r="A152" i="6"/>
  <c r="F151" i="6"/>
  <c r="E151" i="6"/>
  <c r="D151" i="6"/>
  <c r="C151" i="6"/>
  <c r="B151" i="6"/>
  <c r="A151" i="6"/>
  <c r="F150" i="6"/>
  <c r="E150" i="6"/>
  <c r="D150" i="6"/>
  <c r="C150" i="6"/>
  <c r="B150" i="6"/>
  <c r="A150" i="6"/>
  <c r="F149" i="6"/>
  <c r="E149" i="6"/>
  <c r="D149" i="6"/>
  <c r="C149" i="6"/>
  <c r="B149" i="6"/>
  <c r="A149" i="6"/>
  <c r="F148" i="6"/>
  <c r="E148" i="6"/>
  <c r="D148" i="6"/>
  <c r="C148" i="6"/>
  <c r="B148" i="6"/>
  <c r="A148" i="6"/>
  <c r="F147" i="6"/>
  <c r="E147" i="6"/>
  <c r="D147" i="6"/>
  <c r="C147" i="6"/>
  <c r="B147" i="6"/>
  <c r="A147" i="6"/>
  <c r="F146" i="6"/>
  <c r="E146" i="6"/>
  <c r="D146" i="6"/>
  <c r="C146" i="6"/>
  <c r="B146" i="6"/>
  <c r="A146" i="6"/>
  <c r="F145" i="6"/>
  <c r="E145" i="6"/>
  <c r="D145" i="6"/>
  <c r="C145" i="6"/>
  <c r="B145" i="6"/>
  <c r="A145" i="6"/>
  <c r="F144" i="6"/>
  <c r="E144" i="6"/>
  <c r="D144" i="6"/>
  <c r="C144" i="6"/>
  <c r="B144" i="6"/>
  <c r="A144" i="6"/>
  <c r="F143" i="6"/>
  <c r="E143" i="6"/>
  <c r="D143" i="6"/>
  <c r="C143" i="6"/>
  <c r="B143" i="6"/>
  <c r="A143" i="6"/>
  <c r="F142" i="6"/>
  <c r="E142" i="6"/>
  <c r="D142" i="6"/>
  <c r="C142" i="6"/>
  <c r="B142" i="6"/>
  <c r="A142" i="6"/>
  <c r="F141" i="6"/>
  <c r="E141" i="6"/>
  <c r="D141" i="6"/>
  <c r="C141" i="6"/>
  <c r="B141" i="6"/>
  <c r="A141" i="6"/>
  <c r="F140" i="6"/>
  <c r="E140" i="6"/>
  <c r="D140" i="6"/>
  <c r="C140" i="6"/>
  <c r="B140" i="6"/>
  <c r="A140" i="6"/>
  <c r="F139" i="6"/>
  <c r="E139" i="6"/>
  <c r="D139" i="6"/>
  <c r="C139" i="6"/>
  <c r="B139" i="6"/>
  <c r="A139" i="6"/>
  <c r="F138" i="6"/>
  <c r="E138" i="6"/>
  <c r="D138" i="6"/>
  <c r="C138" i="6"/>
  <c r="B138" i="6"/>
  <c r="A138" i="6"/>
  <c r="F137" i="6"/>
  <c r="E137" i="6"/>
  <c r="D137" i="6"/>
  <c r="C137" i="6"/>
  <c r="B137" i="6"/>
  <c r="A137" i="6"/>
  <c r="F136" i="6"/>
  <c r="E136" i="6"/>
  <c r="D136" i="6"/>
  <c r="C136" i="6"/>
  <c r="B136" i="6"/>
  <c r="A136" i="6"/>
  <c r="F135" i="6"/>
  <c r="E135" i="6"/>
  <c r="D135" i="6"/>
  <c r="C135" i="6"/>
  <c r="B135" i="6"/>
  <c r="A135" i="6"/>
  <c r="F134" i="6"/>
  <c r="E134" i="6"/>
  <c r="D134" i="6"/>
  <c r="C134" i="6"/>
  <c r="B134" i="6"/>
  <c r="A134" i="6"/>
  <c r="F133" i="6"/>
  <c r="E133" i="6"/>
  <c r="D133" i="6"/>
  <c r="C133" i="6"/>
  <c r="B133" i="6"/>
  <c r="A133" i="6"/>
  <c r="F132" i="6"/>
  <c r="E132" i="6"/>
  <c r="D132" i="6"/>
  <c r="C132" i="6"/>
  <c r="B132" i="6"/>
  <c r="A132" i="6"/>
  <c r="F131" i="6"/>
  <c r="E131" i="6"/>
  <c r="D131" i="6"/>
  <c r="C131" i="6"/>
  <c r="B131" i="6"/>
  <c r="A131" i="6"/>
  <c r="F130" i="6"/>
  <c r="E130" i="6"/>
  <c r="D130" i="6"/>
  <c r="C130" i="6"/>
  <c r="B130" i="6"/>
  <c r="A130" i="6"/>
  <c r="F129" i="6"/>
  <c r="E129" i="6"/>
  <c r="D129" i="6"/>
  <c r="C129" i="6"/>
  <c r="B129" i="6"/>
  <c r="A129" i="6"/>
  <c r="F128" i="6"/>
  <c r="E128" i="6"/>
  <c r="D128" i="6"/>
  <c r="C128" i="6"/>
  <c r="B128" i="6"/>
  <c r="A128" i="6"/>
  <c r="F127" i="6"/>
  <c r="E127" i="6"/>
  <c r="D127" i="6"/>
  <c r="C127" i="6"/>
  <c r="B127" i="6"/>
  <c r="A127" i="6"/>
  <c r="F126" i="6"/>
  <c r="E126" i="6"/>
  <c r="D126" i="6"/>
  <c r="C126" i="6"/>
  <c r="B126" i="6"/>
  <c r="A126" i="6"/>
  <c r="F125" i="6"/>
  <c r="E125" i="6"/>
  <c r="D125" i="6"/>
  <c r="C125" i="6"/>
  <c r="B125" i="6"/>
  <c r="A125" i="6"/>
  <c r="F124" i="6"/>
  <c r="E124" i="6"/>
  <c r="D124" i="6"/>
  <c r="C124" i="6"/>
  <c r="B124" i="6"/>
  <c r="A124" i="6"/>
  <c r="F123" i="6"/>
  <c r="E123" i="6"/>
  <c r="D123" i="6"/>
  <c r="C123" i="6"/>
  <c r="B123" i="6"/>
  <c r="A123" i="6"/>
  <c r="F122" i="6"/>
  <c r="E122" i="6"/>
  <c r="D122" i="6"/>
  <c r="C122" i="6"/>
  <c r="B122" i="6"/>
  <c r="A122" i="6"/>
  <c r="F121" i="6"/>
  <c r="E121" i="6"/>
  <c r="D121" i="6"/>
  <c r="C121" i="6"/>
  <c r="B121" i="6"/>
  <c r="A121" i="6"/>
  <c r="F120" i="6"/>
  <c r="E120" i="6"/>
  <c r="D120" i="6"/>
  <c r="C120" i="6"/>
  <c r="B120" i="6"/>
  <c r="A120" i="6"/>
  <c r="F119" i="6"/>
  <c r="E119" i="6"/>
  <c r="D119" i="6"/>
  <c r="C119" i="6"/>
  <c r="B119" i="6"/>
  <c r="A119" i="6"/>
  <c r="F118" i="6"/>
  <c r="E118" i="6"/>
  <c r="D118" i="6"/>
  <c r="C118" i="6"/>
  <c r="B118" i="6"/>
  <c r="A118" i="6"/>
  <c r="F117" i="6"/>
  <c r="E117" i="6"/>
  <c r="D117" i="6"/>
  <c r="C117" i="6"/>
  <c r="B117" i="6"/>
  <c r="A117" i="6"/>
  <c r="F116" i="6"/>
  <c r="E116" i="6"/>
  <c r="D116" i="6"/>
  <c r="C116" i="6"/>
  <c r="B116" i="6"/>
  <c r="A116" i="6"/>
  <c r="F115" i="6"/>
  <c r="E115" i="6"/>
  <c r="D115" i="6"/>
  <c r="C115" i="6"/>
  <c r="B115" i="6"/>
  <c r="A115" i="6"/>
  <c r="F114" i="6"/>
  <c r="E114" i="6"/>
  <c r="D114" i="6"/>
  <c r="C114" i="6"/>
  <c r="B114" i="6"/>
  <c r="A114" i="6"/>
  <c r="F113" i="6"/>
  <c r="E113" i="6"/>
  <c r="D113" i="6"/>
  <c r="C113" i="6"/>
  <c r="B113" i="6"/>
  <c r="A113" i="6"/>
  <c r="F112" i="6"/>
  <c r="E112" i="6"/>
  <c r="D112" i="6"/>
  <c r="C112" i="6"/>
  <c r="B112" i="6"/>
  <c r="A112" i="6"/>
  <c r="F111" i="6"/>
  <c r="E111" i="6"/>
  <c r="D111" i="6"/>
  <c r="C111" i="6"/>
  <c r="B111" i="6"/>
  <c r="A111" i="6"/>
  <c r="F110" i="6"/>
  <c r="E110" i="6"/>
  <c r="D110" i="6"/>
  <c r="C110" i="6"/>
  <c r="B110" i="6"/>
  <c r="A110" i="6"/>
  <c r="F109" i="6"/>
  <c r="E109" i="6"/>
  <c r="D109" i="6"/>
  <c r="C109" i="6"/>
  <c r="B109" i="6"/>
  <c r="A109" i="6"/>
  <c r="F108" i="6"/>
  <c r="E108" i="6"/>
  <c r="D108" i="6"/>
  <c r="C108" i="6"/>
  <c r="B108" i="6"/>
  <c r="A108" i="6"/>
  <c r="F107" i="6"/>
  <c r="E107" i="6"/>
  <c r="D107" i="6"/>
  <c r="C107" i="6"/>
  <c r="B107" i="6"/>
  <c r="A107" i="6"/>
  <c r="F106" i="6"/>
  <c r="E106" i="6"/>
  <c r="D106" i="6"/>
  <c r="C106" i="6"/>
  <c r="B106" i="6"/>
  <c r="A106" i="6"/>
  <c r="F105" i="6"/>
  <c r="E105" i="6"/>
  <c r="D105" i="6"/>
  <c r="C105" i="6"/>
  <c r="B105" i="6"/>
  <c r="A105" i="6"/>
  <c r="F104" i="6"/>
  <c r="E104" i="6"/>
  <c r="D104" i="6"/>
  <c r="C104" i="6"/>
  <c r="B104" i="6"/>
  <c r="A104" i="6"/>
  <c r="F103" i="6"/>
  <c r="E103" i="6"/>
  <c r="D103" i="6"/>
  <c r="C103" i="6"/>
  <c r="B103" i="6"/>
  <c r="A103" i="6"/>
  <c r="F102" i="6"/>
  <c r="E102" i="6"/>
  <c r="D102" i="6"/>
  <c r="C102" i="6"/>
  <c r="B102" i="6"/>
  <c r="A102" i="6"/>
  <c r="F101" i="6"/>
  <c r="E101" i="6"/>
  <c r="D101" i="6"/>
  <c r="C101" i="6"/>
  <c r="B101" i="6"/>
  <c r="A101" i="6"/>
  <c r="F100" i="6"/>
  <c r="E100" i="6"/>
  <c r="D100" i="6"/>
  <c r="C100" i="6"/>
  <c r="B100" i="6"/>
  <c r="A100" i="6"/>
  <c r="F99" i="6"/>
  <c r="E99" i="6"/>
  <c r="D99" i="6"/>
  <c r="C99" i="6"/>
  <c r="B99" i="6"/>
  <c r="A99" i="6"/>
  <c r="F98" i="6"/>
  <c r="E98" i="6"/>
  <c r="D98" i="6"/>
  <c r="C98" i="6"/>
  <c r="B98" i="6"/>
  <c r="A98" i="6"/>
  <c r="F97" i="6"/>
  <c r="E97" i="6"/>
  <c r="D97" i="6"/>
  <c r="C97" i="6"/>
  <c r="B97" i="6"/>
  <c r="A97" i="6"/>
  <c r="F96" i="6"/>
  <c r="E96" i="6"/>
  <c r="D96" i="6"/>
  <c r="C96" i="6"/>
  <c r="B96" i="6"/>
  <c r="A96" i="6"/>
  <c r="F95" i="6"/>
  <c r="E95" i="6"/>
  <c r="D95" i="6"/>
  <c r="C95" i="6"/>
  <c r="B95" i="6"/>
  <c r="A95" i="6"/>
  <c r="F94" i="6"/>
  <c r="E94" i="6"/>
  <c r="D94" i="6"/>
  <c r="C94" i="6"/>
  <c r="B94" i="6"/>
  <c r="A94" i="6"/>
  <c r="F93" i="6"/>
  <c r="E93" i="6"/>
  <c r="D93" i="6"/>
  <c r="C93" i="6"/>
  <c r="B93" i="6"/>
  <c r="A93" i="6"/>
  <c r="F92" i="6"/>
  <c r="E92" i="6"/>
  <c r="D92" i="6"/>
  <c r="C92" i="6"/>
  <c r="B92" i="6"/>
  <c r="A92" i="6"/>
  <c r="F91" i="6"/>
  <c r="E91" i="6"/>
  <c r="D91" i="6"/>
  <c r="C91" i="6"/>
  <c r="B91" i="6"/>
  <c r="A91" i="6"/>
  <c r="F90" i="6"/>
  <c r="E90" i="6"/>
  <c r="D90" i="6"/>
  <c r="C90" i="6"/>
  <c r="B90" i="6"/>
  <c r="A90" i="6"/>
  <c r="F89" i="6"/>
  <c r="E89" i="6"/>
  <c r="D89" i="6"/>
  <c r="C89" i="6"/>
  <c r="B89" i="6"/>
  <c r="A89" i="6"/>
  <c r="F88" i="6"/>
  <c r="E88" i="6"/>
  <c r="D88" i="6"/>
  <c r="C88" i="6"/>
  <c r="B88" i="6"/>
  <c r="A88" i="6"/>
  <c r="F87" i="6"/>
  <c r="E87" i="6"/>
  <c r="D87" i="6"/>
  <c r="C87" i="6"/>
  <c r="B87" i="6"/>
  <c r="A87" i="6"/>
  <c r="F86" i="6"/>
  <c r="E86" i="6"/>
  <c r="D86" i="6"/>
  <c r="C86" i="6"/>
  <c r="B86" i="6"/>
  <c r="A86" i="6"/>
  <c r="F85" i="6"/>
  <c r="E85" i="6"/>
  <c r="D85" i="6"/>
  <c r="C85" i="6"/>
  <c r="B85" i="6"/>
  <c r="A85" i="6"/>
  <c r="F84" i="6"/>
  <c r="E84" i="6"/>
  <c r="D84" i="6"/>
  <c r="C84" i="6"/>
  <c r="B84" i="6"/>
  <c r="A84" i="6"/>
  <c r="F83" i="6"/>
  <c r="E83" i="6"/>
  <c r="D83" i="6"/>
  <c r="C83" i="6"/>
  <c r="B83" i="6"/>
  <c r="A83" i="6"/>
  <c r="F82" i="6"/>
  <c r="E82" i="6"/>
  <c r="D82" i="6"/>
  <c r="C82" i="6"/>
  <c r="B82" i="6"/>
  <c r="A82" i="6"/>
  <c r="F81" i="6"/>
  <c r="E81" i="6"/>
  <c r="D81" i="6"/>
  <c r="C81" i="6"/>
  <c r="B81" i="6"/>
  <c r="A81" i="6"/>
  <c r="F80" i="6"/>
  <c r="E80" i="6"/>
  <c r="D80" i="6"/>
  <c r="C80" i="6"/>
  <c r="B80" i="6"/>
  <c r="A80" i="6"/>
  <c r="F79" i="6"/>
  <c r="E79" i="6"/>
  <c r="D79" i="6"/>
  <c r="C79" i="6"/>
  <c r="B79" i="6"/>
  <c r="A79" i="6"/>
  <c r="F78" i="6"/>
  <c r="E78" i="6"/>
  <c r="D78" i="6"/>
  <c r="C78" i="6"/>
  <c r="B78" i="6"/>
  <c r="A78" i="6"/>
  <c r="F77" i="6"/>
  <c r="E77" i="6"/>
  <c r="D77" i="6"/>
  <c r="C77" i="6"/>
  <c r="B77" i="6"/>
  <c r="A77" i="6"/>
  <c r="F76" i="6"/>
  <c r="E76" i="6"/>
  <c r="D76" i="6"/>
  <c r="C76" i="6"/>
  <c r="B76" i="6"/>
  <c r="A76" i="6"/>
  <c r="F75" i="6"/>
  <c r="E75" i="6"/>
  <c r="D75" i="6"/>
  <c r="C75" i="6"/>
  <c r="B75" i="6"/>
  <c r="A75" i="6"/>
  <c r="F74" i="6"/>
  <c r="E74" i="6"/>
  <c r="D74" i="6"/>
  <c r="C74" i="6"/>
  <c r="B74" i="6"/>
  <c r="A74" i="6"/>
  <c r="F73" i="6"/>
  <c r="E73" i="6"/>
  <c r="D73" i="6"/>
  <c r="C73" i="6"/>
  <c r="B73" i="6"/>
  <c r="A73" i="6"/>
  <c r="F72" i="6"/>
  <c r="E72" i="6"/>
  <c r="D72" i="6"/>
  <c r="C72" i="6"/>
  <c r="B72" i="6"/>
  <c r="A72" i="6"/>
  <c r="F71" i="6"/>
  <c r="E71" i="6"/>
  <c r="D71" i="6"/>
  <c r="C71" i="6"/>
  <c r="B71" i="6"/>
  <c r="A71" i="6"/>
  <c r="F70" i="6"/>
  <c r="E70" i="6"/>
  <c r="D70" i="6"/>
  <c r="C70" i="6"/>
  <c r="B70" i="6"/>
  <c r="A70" i="6"/>
  <c r="F69" i="6"/>
  <c r="E69" i="6"/>
  <c r="D69" i="6"/>
  <c r="C69" i="6"/>
  <c r="B69" i="6"/>
  <c r="A69" i="6"/>
  <c r="F68" i="6"/>
  <c r="E68" i="6"/>
  <c r="D68" i="6"/>
  <c r="C68" i="6"/>
  <c r="B68" i="6"/>
  <c r="A68" i="6"/>
  <c r="F67" i="6"/>
  <c r="E67" i="6"/>
  <c r="D67" i="6"/>
  <c r="C67" i="6"/>
  <c r="B67" i="6"/>
  <c r="A67" i="6"/>
  <c r="F66" i="6"/>
  <c r="E66" i="6"/>
  <c r="D66" i="6"/>
  <c r="C66" i="6"/>
  <c r="B66" i="6"/>
  <c r="A66" i="6"/>
  <c r="F65" i="6"/>
  <c r="E65" i="6"/>
  <c r="D65" i="6"/>
  <c r="C65" i="6"/>
  <c r="B65" i="6"/>
  <c r="A65" i="6"/>
  <c r="F64" i="6"/>
  <c r="E64" i="6"/>
  <c r="D64" i="6"/>
  <c r="C64" i="6"/>
  <c r="B64" i="6"/>
  <c r="A64" i="6"/>
  <c r="F63" i="6"/>
  <c r="E63" i="6"/>
  <c r="D63" i="6"/>
  <c r="C63" i="6"/>
  <c r="B63" i="6"/>
  <c r="A63" i="6"/>
  <c r="F62" i="6"/>
  <c r="E62" i="6"/>
  <c r="D62" i="6"/>
  <c r="C62" i="6"/>
  <c r="B62" i="6"/>
  <c r="A62" i="6"/>
  <c r="F61" i="6"/>
  <c r="E61" i="6"/>
  <c r="D61" i="6"/>
  <c r="C61" i="6"/>
  <c r="B61" i="6"/>
  <c r="A61" i="6"/>
  <c r="F60" i="6"/>
  <c r="E60" i="6"/>
  <c r="D60" i="6"/>
  <c r="C60" i="6"/>
  <c r="B60" i="6"/>
  <c r="A60" i="6"/>
  <c r="F59" i="6"/>
  <c r="E59" i="6"/>
  <c r="D59" i="6"/>
  <c r="C59" i="6"/>
  <c r="B59" i="6"/>
  <c r="A59" i="6"/>
  <c r="F58" i="6"/>
  <c r="E58" i="6"/>
  <c r="D58" i="6"/>
  <c r="C58" i="6"/>
  <c r="B58" i="6"/>
  <c r="A58" i="6"/>
  <c r="F57" i="6"/>
  <c r="E57" i="6"/>
  <c r="D57" i="6"/>
  <c r="C57" i="6"/>
  <c r="B57" i="6"/>
  <c r="A57" i="6"/>
  <c r="F56" i="6"/>
  <c r="E56" i="6"/>
  <c r="D56" i="6"/>
  <c r="C56" i="6"/>
  <c r="B56" i="6"/>
  <c r="A56" i="6"/>
  <c r="F55" i="6"/>
  <c r="E55" i="6"/>
  <c r="D55" i="6"/>
  <c r="C55" i="6"/>
  <c r="B55" i="6"/>
  <c r="A55" i="6"/>
  <c r="F54" i="6"/>
  <c r="E54" i="6"/>
  <c r="D54" i="6"/>
  <c r="C54" i="6"/>
  <c r="B54" i="6"/>
  <c r="A54" i="6"/>
  <c r="F53" i="6"/>
  <c r="E53" i="6"/>
  <c r="D53" i="6"/>
  <c r="C53" i="6"/>
  <c r="B53" i="6"/>
  <c r="A53" i="6"/>
  <c r="F52" i="6"/>
  <c r="E52" i="6"/>
  <c r="D52" i="6"/>
  <c r="C52" i="6"/>
  <c r="B52" i="6"/>
  <c r="A52" i="6"/>
  <c r="F51" i="6"/>
  <c r="E51" i="6"/>
  <c r="D51" i="6"/>
  <c r="C51" i="6"/>
  <c r="B51" i="6"/>
  <c r="A51" i="6"/>
  <c r="F50" i="6"/>
  <c r="E50" i="6"/>
  <c r="D50" i="6"/>
  <c r="C50" i="6"/>
  <c r="B50" i="6"/>
  <c r="A50" i="6"/>
  <c r="F49" i="6"/>
  <c r="E49" i="6"/>
  <c r="D49" i="6"/>
  <c r="C49" i="6"/>
  <c r="B49" i="6"/>
  <c r="A49" i="6"/>
  <c r="F48" i="6"/>
  <c r="E48" i="6"/>
  <c r="D48" i="6"/>
  <c r="C48" i="6"/>
  <c r="B48" i="6"/>
  <c r="A48" i="6"/>
  <c r="F47" i="6"/>
  <c r="E47" i="6"/>
  <c r="D47" i="6"/>
  <c r="C47" i="6"/>
  <c r="B47" i="6"/>
  <c r="A47" i="6"/>
  <c r="F46" i="6"/>
  <c r="Z46" i="6" s="1"/>
  <c r="E46" i="6"/>
  <c r="Y46" i="6" s="1"/>
  <c r="D46" i="6"/>
  <c r="C46" i="6"/>
  <c r="B46" i="6"/>
  <c r="A46" i="6"/>
  <c r="F45" i="6"/>
  <c r="Z45" i="6" s="1"/>
  <c r="E45" i="6"/>
  <c r="Y45" i="6" s="1"/>
  <c r="D45" i="6"/>
  <c r="C45" i="6"/>
  <c r="B45" i="6"/>
  <c r="A45" i="6"/>
  <c r="F44" i="6"/>
  <c r="Z44" i="6" s="1"/>
  <c r="E44" i="6"/>
  <c r="Y44" i="6" s="1"/>
  <c r="D44" i="6"/>
  <c r="C44" i="6"/>
  <c r="B44" i="6"/>
  <c r="A44" i="6"/>
  <c r="F43" i="6"/>
  <c r="E43" i="6"/>
  <c r="Z43" i="6" s="1"/>
  <c r="D43" i="6"/>
  <c r="C43" i="6"/>
  <c r="B43" i="6"/>
  <c r="A43" i="6"/>
  <c r="F42" i="6"/>
  <c r="E42" i="6"/>
  <c r="Z42" i="6" s="1"/>
  <c r="D42" i="6"/>
  <c r="C42" i="6"/>
  <c r="B42" i="6"/>
  <c r="A42" i="6"/>
  <c r="F41" i="6"/>
  <c r="E41" i="6"/>
  <c r="Z41" i="6" s="1"/>
  <c r="D41" i="6"/>
  <c r="C41" i="6"/>
  <c r="B41" i="6"/>
  <c r="A41" i="6"/>
  <c r="F40" i="6"/>
  <c r="E40" i="6"/>
  <c r="Z40" i="6" s="1"/>
  <c r="D40" i="6"/>
  <c r="C40" i="6"/>
  <c r="B40" i="6"/>
  <c r="A40" i="6"/>
  <c r="F39" i="6"/>
  <c r="E39" i="6"/>
  <c r="Z39" i="6" s="1"/>
  <c r="D39" i="6"/>
  <c r="C39" i="6"/>
  <c r="B39" i="6"/>
  <c r="A39" i="6"/>
  <c r="F38" i="6"/>
  <c r="E38" i="6"/>
  <c r="Z38" i="6" s="1"/>
  <c r="D38" i="6"/>
  <c r="C38" i="6"/>
  <c r="B38" i="6"/>
  <c r="A38" i="6"/>
  <c r="F37" i="6"/>
  <c r="E37" i="6"/>
  <c r="Z37" i="6" s="1"/>
  <c r="D37" i="6"/>
  <c r="C37" i="6"/>
  <c r="B37" i="6"/>
  <c r="A37" i="6"/>
  <c r="F36" i="6"/>
  <c r="E36" i="6"/>
  <c r="Z36" i="6" s="1"/>
  <c r="D36" i="6"/>
  <c r="C36" i="6"/>
  <c r="B36" i="6"/>
  <c r="A36" i="6"/>
  <c r="W35" i="6"/>
  <c r="G35" i="6"/>
  <c r="F35" i="6"/>
  <c r="E35" i="6"/>
  <c r="Z35" i="6" s="1"/>
  <c r="D35" i="6"/>
  <c r="C35" i="6"/>
  <c r="B35" i="6"/>
  <c r="A35" i="6"/>
  <c r="W34" i="6"/>
  <c r="G34" i="6"/>
  <c r="F34" i="6"/>
  <c r="E34" i="6"/>
  <c r="Z34" i="6" s="1"/>
  <c r="D34" i="6"/>
  <c r="C34" i="6"/>
  <c r="B34" i="6"/>
  <c r="A34" i="6"/>
  <c r="W33" i="6"/>
  <c r="G33" i="6"/>
  <c r="F33" i="6"/>
  <c r="E33" i="6"/>
  <c r="Z33" i="6" s="1"/>
  <c r="D33" i="6"/>
  <c r="C33" i="6"/>
  <c r="B33" i="6"/>
  <c r="A33" i="6"/>
  <c r="W32" i="6"/>
  <c r="G32" i="6"/>
  <c r="F32" i="6"/>
  <c r="E32" i="6"/>
  <c r="Z32" i="6" s="1"/>
  <c r="D32" i="6"/>
  <c r="C32" i="6"/>
  <c r="B32" i="6"/>
  <c r="A32" i="6"/>
  <c r="W31" i="6"/>
  <c r="G31" i="6"/>
  <c r="F31" i="6"/>
  <c r="E31" i="6"/>
  <c r="Z31" i="6" s="1"/>
  <c r="D31" i="6"/>
  <c r="C31" i="6"/>
  <c r="B31" i="6"/>
  <c r="A31" i="6"/>
  <c r="AB30" i="6"/>
  <c r="AA30" i="6"/>
  <c r="T30" i="6"/>
  <c r="S30" i="6"/>
  <c r="L30" i="6"/>
  <c r="K30" i="6"/>
  <c r="F30" i="6"/>
  <c r="E30" i="6"/>
  <c r="Z30" i="6" s="1"/>
  <c r="D30" i="6"/>
  <c r="C30" i="6"/>
  <c r="B30" i="6"/>
  <c r="A30" i="6"/>
  <c r="X29" i="6"/>
  <c r="W29" i="6"/>
  <c r="P29" i="6"/>
  <c r="O29" i="6"/>
  <c r="H29" i="6"/>
  <c r="G29" i="6"/>
  <c r="F29" i="6"/>
  <c r="E29" i="6"/>
  <c r="Z29" i="6" s="1"/>
  <c r="D29" i="6"/>
  <c r="C29" i="6"/>
  <c r="B29" i="6"/>
  <c r="A29" i="6"/>
  <c r="AB28" i="6"/>
  <c r="AA28" i="6"/>
  <c r="T28" i="6"/>
  <c r="S28" i="6"/>
  <c r="L28" i="6"/>
  <c r="K28" i="6"/>
  <c r="F28" i="6"/>
  <c r="E28" i="6"/>
  <c r="Z28" i="6" s="1"/>
  <c r="D28" i="6"/>
  <c r="C28" i="6"/>
  <c r="B28" i="6"/>
  <c r="A28" i="6"/>
  <c r="X27" i="6"/>
  <c r="W27" i="6"/>
  <c r="P27" i="6"/>
  <c r="O27" i="6"/>
  <c r="H27" i="6"/>
  <c r="G27" i="6"/>
  <c r="F27" i="6"/>
  <c r="E27" i="6"/>
  <c r="Z27" i="6" s="1"/>
  <c r="D27" i="6"/>
  <c r="C27" i="6"/>
  <c r="B27" i="6"/>
  <c r="A27" i="6"/>
  <c r="AB26" i="6"/>
  <c r="AA26" i="6"/>
  <c r="T26" i="6"/>
  <c r="S26" i="6"/>
  <c r="L26" i="6"/>
  <c r="K26" i="6"/>
  <c r="F26" i="6"/>
  <c r="E26" i="6"/>
  <c r="Z26" i="6" s="1"/>
  <c r="D26" i="6"/>
  <c r="C26" i="6"/>
  <c r="B26" i="6"/>
  <c r="A26" i="6"/>
  <c r="X25" i="6"/>
  <c r="W25" i="6"/>
  <c r="P25" i="6"/>
  <c r="O25" i="6"/>
  <c r="H25" i="6"/>
  <c r="G25" i="6"/>
  <c r="F25" i="6"/>
  <c r="E25" i="6"/>
  <c r="Z25" i="6" s="1"/>
  <c r="D25" i="6"/>
  <c r="C25" i="6"/>
  <c r="B25" i="6"/>
  <c r="A25" i="6"/>
  <c r="AB24" i="6"/>
  <c r="AA24" i="6"/>
  <c r="T24" i="6"/>
  <c r="S24" i="6"/>
  <c r="L24" i="6"/>
  <c r="K24" i="6"/>
  <c r="F24" i="6"/>
  <c r="E24" i="6"/>
  <c r="Z24" i="6" s="1"/>
  <c r="D24" i="6"/>
  <c r="C24" i="6"/>
  <c r="B24" i="6"/>
  <c r="A24" i="6"/>
  <c r="X23" i="6"/>
  <c r="W23" i="6"/>
  <c r="P23" i="6"/>
  <c r="O23" i="6"/>
  <c r="H23" i="6"/>
  <c r="G23" i="6"/>
  <c r="F23" i="6"/>
  <c r="E23" i="6"/>
  <c r="Z23" i="6" s="1"/>
  <c r="D23" i="6"/>
  <c r="C23" i="6"/>
  <c r="B23" i="6"/>
  <c r="A23" i="6"/>
  <c r="AB22" i="6"/>
  <c r="AA22" i="6"/>
  <c r="T22" i="6"/>
  <c r="S22" i="6"/>
  <c r="L22" i="6"/>
  <c r="K22" i="6"/>
  <c r="F22" i="6"/>
  <c r="E22" i="6"/>
  <c r="Z22" i="6" s="1"/>
  <c r="D22" i="6"/>
  <c r="C22" i="6"/>
  <c r="B22" i="6"/>
  <c r="A22" i="6"/>
  <c r="X21" i="6"/>
  <c r="W21" i="6"/>
  <c r="P21" i="6"/>
  <c r="O21" i="6"/>
  <c r="H21" i="6"/>
  <c r="G21" i="6"/>
  <c r="F21" i="6"/>
  <c r="E21" i="6"/>
  <c r="Z21" i="6" s="1"/>
  <c r="D21" i="6"/>
  <c r="C21" i="6"/>
  <c r="B21" i="6"/>
  <c r="A21" i="6"/>
  <c r="AB20" i="6"/>
  <c r="AA20" i="6"/>
  <c r="T20" i="6"/>
  <c r="S20" i="6"/>
  <c r="L20" i="6"/>
  <c r="K20" i="6"/>
  <c r="F20" i="6"/>
  <c r="E20" i="6"/>
  <c r="Z20" i="6" s="1"/>
  <c r="D20" i="6"/>
  <c r="C20" i="6"/>
  <c r="B20" i="6"/>
  <c r="A20" i="6"/>
  <c r="X19" i="6"/>
  <c r="W19" i="6"/>
  <c r="P19" i="6"/>
  <c r="O19" i="6"/>
  <c r="H19" i="6"/>
  <c r="G19" i="6"/>
  <c r="F19" i="6"/>
  <c r="E19" i="6"/>
  <c r="Z19" i="6" s="1"/>
  <c r="D19" i="6"/>
  <c r="C19" i="6"/>
  <c r="B19" i="6"/>
  <c r="A19" i="6"/>
  <c r="AB18" i="6"/>
  <c r="AA18" i="6"/>
  <c r="T18" i="6"/>
  <c r="S18" i="6"/>
  <c r="L18" i="6"/>
  <c r="K18" i="6"/>
  <c r="F18" i="6"/>
  <c r="E18" i="6"/>
  <c r="Z18" i="6" s="1"/>
  <c r="D18" i="6"/>
  <c r="C18" i="6"/>
  <c r="B18" i="6"/>
  <c r="A18" i="6"/>
  <c r="X17" i="6"/>
  <c r="W17" i="6"/>
  <c r="P17" i="6"/>
  <c r="O17" i="6"/>
  <c r="H17" i="6"/>
  <c r="G17" i="6"/>
  <c r="F17" i="6"/>
  <c r="E17" i="6"/>
  <c r="Z17" i="6" s="1"/>
  <c r="D17" i="6"/>
  <c r="C17" i="6"/>
  <c r="B17" i="6"/>
  <c r="A17" i="6"/>
  <c r="AB16" i="6"/>
  <c r="AA16" i="6"/>
  <c r="T16" i="6"/>
  <c r="S16" i="6"/>
  <c r="L16" i="6"/>
  <c r="K16" i="6"/>
  <c r="F16" i="6"/>
  <c r="E16" i="6"/>
  <c r="Z16" i="6" s="1"/>
  <c r="D16" i="6"/>
  <c r="C16" i="6"/>
  <c r="B16" i="6"/>
  <c r="A16" i="6"/>
  <c r="X15" i="6"/>
  <c r="W15" i="6"/>
  <c r="P15" i="6"/>
  <c r="O15" i="6"/>
  <c r="H15" i="6"/>
  <c r="G15" i="6"/>
  <c r="F15" i="6"/>
  <c r="E15" i="6"/>
  <c r="Z15" i="6" s="1"/>
  <c r="D15" i="6"/>
  <c r="C15" i="6"/>
  <c r="B15" i="6"/>
  <c r="A15" i="6"/>
  <c r="AB14" i="6"/>
  <c r="AA14" i="6"/>
  <c r="T14" i="6"/>
  <c r="S14" i="6"/>
  <c r="L14" i="6"/>
  <c r="K14" i="6"/>
  <c r="F14" i="6"/>
  <c r="E14" i="6"/>
  <c r="Z14" i="6" s="1"/>
  <c r="D14" i="6"/>
  <c r="C14" i="6"/>
  <c r="B14" i="6"/>
  <c r="A14" i="6"/>
  <c r="X13" i="6"/>
  <c r="W13" i="6"/>
  <c r="P13" i="6"/>
  <c r="O13" i="6"/>
  <c r="H13" i="6"/>
  <c r="G13" i="6"/>
  <c r="F13" i="6"/>
  <c r="E13" i="6"/>
  <c r="Z13" i="6" s="1"/>
  <c r="D13" i="6"/>
  <c r="C13" i="6"/>
  <c r="B13" i="6"/>
  <c r="A13" i="6"/>
  <c r="AB12" i="6"/>
  <c r="AA12" i="6"/>
  <c r="T12" i="6"/>
  <c r="S12" i="6"/>
  <c r="L12" i="6"/>
  <c r="K12" i="6"/>
  <c r="F12" i="6"/>
  <c r="E12" i="6"/>
  <c r="Z12" i="6" s="1"/>
  <c r="D12" i="6"/>
  <c r="C12" i="6"/>
  <c r="B12" i="6"/>
  <c r="A12" i="6"/>
  <c r="X11" i="6"/>
  <c r="W11" i="6"/>
  <c r="P11" i="6"/>
  <c r="O11" i="6"/>
  <c r="H11" i="6"/>
  <c r="G11" i="6"/>
  <c r="F11" i="6"/>
  <c r="E11" i="6"/>
  <c r="Z11" i="6" s="1"/>
  <c r="D11" i="6"/>
  <c r="C11" i="6"/>
  <c r="B11" i="6"/>
  <c r="A11" i="6"/>
  <c r="AB10" i="6"/>
  <c r="AA10" i="6"/>
  <c r="T10" i="6"/>
  <c r="S10" i="6"/>
  <c r="L10" i="6"/>
  <c r="K10" i="6"/>
  <c r="F10" i="6"/>
  <c r="E10" i="6"/>
  <c r="Z10" i="6" s="1"/>
  <c r="D10" i="6"/>
  <c r="C10" i="6"/>
  <c r="B10" i="6"/>
  <c r="A10" i="6"/>
  <c r="X9" i="6"/>
  <c r="W9" i="6"/>
  <c r="P9" i="6"/>
  <c r="O9" i="6"/>
  <c r="H9" i="6"/>
  <c r="G9" i="6"/>
  <c r="F9" i="6"/>
  <c r="E9" i="6"/>
  <c r="Z9" i="6" s="1"/>
  <c r="D9" i="6"/>
  <c r="C9" i="6"/>
  <c r="B9" i="6"/>
  <c r="A9" i="6"/>
  <c r="AB8" i="6"/>
  <c r="AA8" i="6"/>
  <c r="T8" i="6"/>
  <c r="S8" i="6"/>
  <c r="L8" i="6"/>
  <c r="K8" i="6"/>
  <c r="F8" i="6"/>
  <c r="E8" i="6"/>
  <c r="Z8" i="6" s="1"/>
  <c r="D8" i="6"/>
  <c r="C8" i="6"/>
  <c r="B8" i="6"/>
  <c r="A8" i="6"/>
  <c r="X7" i="6"/>
  <c r="W7" i="6"/>
  <c r="P7" i="6"/>
  <c r="O7" i="6"/>
  <c r="H7" i="6"/>
  <c r="G7" i="6"/>
  <c r="F7" i="6"/>
  <c r="E7" i="6"/>
  <c r="Z7" i="6" s="1"/>
  <c r="D7" i="6"/>
  <c r="C7" i="6"/>
  <c r="B7" i="6"/>
  <c r="A7" i="6"/>
  <c r="AB6" i="6"/>
  <c r="AA6" i="6"/>
  <c r="T6" i="6"/>
  <c r="S6" i="6"/>
  <c r="L6" i="6"/>
  <c r="K6" i="6"/>
  <c r="F6" i="6"/>
  <c r="E6" i="6"/>
  <c r="Z6" i="6" s="1"/>
  <c r="D6" i="6"/>
  <c r="C6" i="6"/>
  <c r="B6" i="6"/>
  <c r="A6" i="6"/>
  <c r="X5" i="6"/>
  <c r="W5" i="6"/>
  <c r="P5" i="6"/>
  <c r="O5" i="6"/>
  <c r="H5" i="6"/>
  <c r="G5" i="6"/>
  <c r="F5" i="6"/>
  <c r="E5" i="6"/>
  <c r="Z5" i="6" s="1"/>
  <c r="D5" i="6"/>
  <c r="C5" i="6"/>
  <c r="B5" i="6"/>
  <c r="A5" i="6"/>
  <c r="AB4" i="6"/>
  <c r="AA4" i="6"/>
  <c r="T4" i="6"/>
  <c r="S4" i="6"/>
  <c r="L4" i="6"/>
  <c r="K4" i="6"/>
  <c r="F4" i="6"/>
  <c r="E4" i="6"/>
  <c r="Z4" i="6" s="1"/>
  <c r="D4" i="6"/>
  <c r="C4" i="6"/>
  <c r="B4" i="6"/>
  <c r="A4" i="6"/>
  <c r="AB3" i="6"/>
  <c r="AA3" i="6"/>
  <c r="AA35" i="6" s="1"/>
  <c r="Z3" i="6"/>
  <c r="Y3" i="6"/>
  <c r="Y93" i="6" s="1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K35" i="6" s="1"/>
  <c r="J3" i="6"/>
  <c r="I3" i="6"/>
  <c r="H3" i="6"/>
  <c r="G3" i="6"/>
  <c r="T165" i="5"/>
  <c r="S165" i="5"/>
  <c r="T164" i="5"/>
  <c r="S164" i="5"/>
  <c r="T163" i="5"/>
  <c r="S163" i="5"/>
  <c r="T162" i="5"/>
  <c r="S162" i="5"/>
  <c r="T161" i="5"/>
  <c r="S161" i="5"/>
  <c r="T160" i="5"/>
  <c r="S160" i="5"/>
  <c r="T159" i="5"/>
  <c r="S159" i="5"/>
  <c r="T158" i="5"/>
  <c r="S158" i="5"/>
  <c r="T157" i="5"/>
  <c r="S157" i="5"/>
  <c r="T156" i="5"/>
  <c r="S156" i="5"/>
  <c r="T155" i="5"/>
  <c r="S155" i="5"/>
  <c r="T154" i="5"/>
  <c r="S154" i="5"/>
  <c r="T153" i="5"/>
  <c r="S153" i="5"/>
  <c r="T152" i="5"/>
  <c r="S152" i="5"/>
  <c r="T151" i="5"/>
  <c r="S151" i="5"/>
  <c r="T150" i="5"/>
  <c r="S150" i="5"/>
  <c r="T149" i="5"/>
  <c r="S149" i="5"/>
  <c r="T148" i="5"/>
  <c r="S148" i="5"/>
  <c r="T147" i="5"/>
  <c r="S147" i="5"/>
  <c r="T146" i="5"/>
  <c r="S146" i="5"/>
  <c r="T145" i="5"/>
  <c r="S145" i="5"/>
  <c r="T144" i="5"/>
  <c r="S144" i="5"/>
  <c r="T143" i="5"/>
  <c r="S143" i="5"/>
  <c r="T142" i="5"/>
  <c r="S142" i="5"/>
  <c r="T141" i="5"/>
  <c r="S141" i="5"/>
  <c r="T140" i="5"/>
  <c r="S140" i="5"/>
  <c r="T139" i="5"/>
  <c r="S139" i="5"/>
  <c r="T138" i="5"/>
  <c r="S138" i="5"/>
  <c r="T137" i="5"/>
  <c r="S137" i="5"/>
  <c r="T136" i="5"/>
  <c r="S136" i="5"/>
  <c r="T135" i="5"/>
  <c r="S135" i="5"/>
  <c r="T134" i="5"/>
  <c r="S134" i="5"/>
  <c r="T133" i="5"/>
  <c r="S133" i="5"/>
  <c r="T132" i="5"/>
  <c r="S132" i="5"/>
  <c r="T131" i="5"/>
  <c r="S131" i="5"/>
  <c r="T130" i="5"/>
  <c r="S130" i="5"/>
  <c r="T129" i="5"/>
  <c r="S129" i="5"/>
  <c r="T128" i="5"/>
  <c r="S128" i="5"/>
  <c r="T127" i="5"/>
  <c r="S127" i="5"/>
  <c r="T126" i="5"/>
  <c r="S126" i="5"/>
  <c r="T125" i="5"/>
  <c r="S125" i="5"/>
  <c r="T124" i="5"/>
  <c r="S124" i="5"/>
  <c r="T123" i="5"/>
  <c r="S123" i="5"/>
  <c r="T122" i="5"/>
  <c r="S122" i="5"/>
  <c r="T121" i="5"/>
  <c r="S121" i="5"/>
  <c r="T120" i="5"/>
  <c r="S120" i="5"/>
  <c r="T119" i="5"/>
  <c r="S119" i="5"/>
  <c r="T118" i="5"/>
  <c r="S118" i="5"/>
  <c r="T117" i="5"/>
  <c r="S117" i="5"/>
  <c r="T116" i="5"/>
  <c r="S116" i="5"/>
  <c r="T115" i="5"/>
  <c r="S115" i="5"/>
  <c r="T114" i="5"/>
  <c r="S114" i="5"/>
  <c r="T113" i="5"/>
  <c r="S113" i="5"/>
  <c r="T112" i="5"/>
  <c r="S112" i="5"/>
  <c r="T111" i="5"/>
  <c r="S111" i="5"/>
  <c r="T110" i="5"/>
  <c r="S110" i="5"/>
  <c r="T109" i="5"/>
  <c r="S109" i="5"/>
  <c r="T108" i="5"/>
  <c r="S108" i="5"/>
  <c r="T107" i="5"/>
  <c r="S107" i="5"/>
  <c r="T106" i="5"/>
  <c r="S106" i="5"/>
  <c r="T105" i="5"/>
  <c r="S105" i="5"/>
  <c r="T104" i="5"/>
  <c r="S104" i="5"/>
  <c r="T103" i="5"/>
  <c r="S103" i="5"/>
  <c r="T102" i="5"/>
  <c r="S102" i="5"/>
  <c r="T101" i="5"/>
  <c r="S101" i="5"/>
  <c r="T100" i="5"/>
  <c r="S100" i="5"/>
  <c r="T99" i="5"/>
  <c r="S99" i="5"/>
  <c r="T98" i="5"/>
  <c r="S98" i="5"/>
  <c r="T97" i="5"/>
  <c r="S97" i="5"/>
  <c r="T96" i="5"/>
  <c r="S96" i="5"/>
  <c r="T95" i="5"/>
  <c r="S95" i="5"/>
  <c r="T94" i="5"/>
  <c r="S94" i="5"/>
  <c r="T93" i="5"/>
  <c r="S93" i="5"/>
  <c r="T92" i="5"/>
  <c r="S92" i="5"/>
  <c r="T91" i="5"/>
  <c r="S91" i="5"/>
  <c r="T90" i="5"/>
  <c r="S90" i="5"/>
  <c r="T89" i="5"/>
  <c r="S89" i="5"/>
  <c r="T88" i="5"/>
  <c r="S88" i="5"/>
  <c r="T87" i="5"/>
  <c r="S87" i="5"/>
  <c r="T86" i="5"/>
  <c r="S86" i="5"/>
  <c r="T85" i="5"/>
  <c r="S85" i="5"/>
  <c r="T84" i="5"/>
  <c r="S84" i="5"/>
  <c r="T83" i="5"/>
  <c r="S83" i="5"/>
  <c r="T82" i="5"/>
  <c r="S82" i="5"/>
  <c r="T81" i="5"/>
  <c r="S81" i="5"/>
  <c r="T80" i="5"/>
  <c r="S80" i="5"/>
  <c r="T79" i="5"/>
  <c r="S79" i="5"/>
  <c r="T78" i="5"/>
  <c r="S78" i="5"/>
  <c r="T77" i="5"/>
  <c r="S77" i="5"/>
  <c r="T76" i="5"/>
  <c r="S76" i="5"/>
  <c r="T75" i="5"/>
  <c r="S75" i="5"/>
  <c r="T74" i="5"/>
  <c r="S74" i="5"/>
  <c r="T73" i="5"/>
  <c r="S73" i="5"/>
  <c r="T72" i="5"/>
  <c r="S72" i="5"/>
  <c r="T71" i="5"/>
  <c r="S71" i="5"/>
  <c r="T70" i="5"/>
  <c r="S70" i="5"/>
  <c r="T69" i="5"/>
  <c r="S69" i="5"/>
  <c r="T68" i="5"/>
  <c r="S68" i="5"/>
  <c r="T67" i="5"/>
  <c r="S67" i="5"/>
  <c r="T66" i="5"/>
  <c r="S66" i="5"/>
  <c r="T65" i="5"/>
  <c r="S65" i="5"/>
  <c r="T64" i="5"/>
  <c r="S64" i="5"/>
  <c r="T63" i="5"/>
  <c r="S63" i="5"/>
  <c r="T62" i="5"/>
  <c r="S62" i="5"/>
  <c r="T61" i="5"/>
  <c r="S61" i="5"/>
  <c r="T60" i="5"/>
  <c r="S60" i="5"/>
  <c r="T59" i="5"/>
  <c r="S59" i="5"/>
  <c r="T58" i="5"/>
  <c r="S58" i="5"/>
  <c r="T57" i="5"/>
  <c r="S57" i="5"/>
  <c r="T56" i="5"/>
  <c r="S56" i="5"/>
  <c r="T55" i="5"/>
  <c r="S55" i="5"/>
  <c r="T54" i="5"/>
  <c r="S54" i="5"/>
  <c r="T53" i="5"/>
  <c r="S53" i="5"/>
  <c r="T52" i="5"/>
  <c r="S52" i="5"/>
  <c r="T51" i="5"/>
  <c r="S51" i="5"/>
  <c r="T50" i="5"/>
  <c r="S50" i="5"/>
  <c r="T49" i="5"/>
  <c r="S49" i="5"/>
  <c r="T48" i="5"/>
  <c r="S48" i="5"/>
  <c r="T47" i="5"/>
  <c r="S47" i="5"/>
  <c r="T46" i="5"/>
  <c r="S46" i="5"/>
  <c r="T45" i="5"/>
  <c r="S45" i="5"/>
  <c r="T44" i="5"/>
  <c r="S44" i="5"/>
  <c r="T43" i="5"/>
  <c r="S43" i="5"/>
  <c r="T42" i="5"/>
  <c r="S42" i="5"/>
  <c r="T41" i="5"/>
  <c r="S41" i="5"/>
  <c r="T40" i="5"/>
  <c r="S40" i="5"/>
  <c r="T39" i="5"/>
  <c r="S39" i="5"/>
  <c r="T38" i="5"/>
  <c r="S38" i="5"/>
  <c r="T37" i="5"/>
  <c r="S37" i="5"/>
  <c r="T36" i="5"/>
  <c r="S36" i="5"/>
  <c r="T35" i="5"/>
  <c r="S35" i="5"/>
  <c r="T34" i="5"/>
  <c r="S34" i="5"/>
  <c r="T33" i="5"/>
  <c r="S33" i="5"/>
  <c r="T32" i="5"/>
  <c r="S32" i="5"/>
  <c r="T31" i="5"/>
  <c r="S31" i="5"/>
  <c r="T30" i="5"/>
  <c r="S30" i="5"/>
  <c r="T29" i="5"/>
  <c r="S29" i="5"/>
  <c r="T28" i="5"/>
  <c r="S28" i="5"/>
  <c r="T27" i="5"/>
  <c r="S27" i="5"/>
  <c r="T26" i="5"/>
  <c r="S26" i="5"/>
  <c r="T25" i="5"/>
  <c r="S25" i="5"/>
  <c r="T24" i="5"/>
  <c r="S24" i="5"/>
  <c r="T23" i="5"/>
  <c r="S23" i="5"/>
  <c r="T22" i="5"/>
  <c r="S22" i="5"/>
  <c r="T21" i="5"/>
  <c r="S21" i="5"/>
  <c r="T20" i="5"/>
  <c r="S20" i="5"/>
  <c r="T19" i="5"/>
  <c r="S19" i="5"/>
  <c r="T18" i="5"/>
  <c r="S18" i="5"/>
  <c r="T17" i="5"/>
  <c r="S17" i="5"/>
  <c r="T16" i="5"/>
  <c r="S16" i="5"/>
  <c r="T15" i="5"/>
  <c r="S15" i="5"/>
  <c r="T14" i="5"/>
  <c r="S14" i="5"/>
  <c r="T13" i="5"/>
  <c r="S13" i="5"/>
  <c r="T12" i="5"/>
  <c r="S12" i="5"/>
  <c r="T11" i="5"/>
  <c r="S11" i="5"/>
  <c r="T10" i="5"/>
  <c r="S10" i="5"/>
  <c r="T9" i="5"/>
  <c r="S9" i="5"/>
  <c r="T8" i="5"/>
  <c r="S8" i="5"/>
  <c r="T7" i="5"/>
  <c r="S7" i="5"/>
  <c r="T6" i="5"/>
  <c r="S6" i="5"/>
  <c r="T5" i="5"/>
  <c r="S5" i="5"/>
  <c r="T4" i="5"/>
  <c r="S4" i="5"/>
  <c r="T3" i="5"/>
  <c r="S3" i="5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G6" i="1"/>
  <c r="E6" i="1"/>
  <c r="C6" i="1"/>
  <c r="A6" i="1"/>
  <c r="K6" i="1" l="1"/>
  <c r="B4" i="7"/>
  <c r="C5" i="7"/>
  <c r="D6" i="7"/>
  <c r="C6" i="7"/>
  <c r="B3" i="7"/>
  <c r="C4" i="7"/>
  <c r="D5" i="7"/>
  <c r="I6" i="1"/>
  <c r="B6" i="7"/>
  <c r="C3" i="7"/>
  <c r="D4" i="7"/>
  <c r="D3" i="7"/>
  <c r="B5" i="7"/>
  <c r="I149" i="6"/>
  <c r="I145" i="6"/>
  <c r="I141" i="6"/>
  <c r="I137" i="6"/>
  <c r="I133" i="6"/>
  <c r="I129" i="6"/>
  <c r="I125" i="6"/>
  <c r="I134" i="6"/>
  <c r="I146" i="6"/>
  <c r="I130" i="6"/>
  <c r="I108" i="6"/>
  <c r="I104" i="6"/>
  <c r="I142" i="6"/>
  <c r="I126" i="6"/>
  <c r="I107" i="6"/>
  <c r="I103" i="6"/>
  <c r="I138" i="6"/>
  <c r="I102" i="6"/>
  <c r="I106" i="6"/>
  <c r="I95" i="6"/>
  <c r="I110" i="6"/>
  <c r="I91" i="6"/>
  <c r="I83" i="6"/>
  <c r="I75" i="6"/>
  <c r="I73" i="6"/>
  <c r="I57" i="6"/>
  <c r="I97" i="6"/>
  <c r="I93" i="6"/>
  <c r="I85" i="6"/>
  <c r="I77" i="6"/>
  <c r="I69" i="6"/>
  <c r="I53" i="6"/>
  <c r="I87" i="6"/>
  <c r="I79" i="6"/>
  <c r="I71" i="6"/>
  <c r="I65" i="6"/>
  <c r="I60" i="6"/>
  <c r="I55" i="6"/>
  <c r="I89" i="6"/>
  <c r="I81" i="6"/>
  <c r="I72" i="6"/>
  <c r="I67" i="6"/>
  <c r="I61" i="6"/>
  <c r="I56" i="6"/>
  <c r="M149" i="6"/>
  <c r="M145" i="6"/>
  <c r="M141" i="6"/>
  <c r="M137" i="6"/>
  <c r="M133" i="6"/>
  <c r="M129" i="6"/>
  <c r="M125" i="6"/>
  <c r="M146" i="6"/>
  <c r="M142" i="6"/>
  <c r="M138" i="6"/>
  <c r="M134" i="6"/>
  <c r="M130" i="6"/>
  <c r="M126" i="6"/>
  <c r="M135" i="6"/>
  <c r="M147" i="6"/>
  <c r="M131" i="6"/>
  <c r="M143" i="6"/>
  <c r="M127" i="6"/>
  <c r="M123" i="6"/>
  <c r="M139" i="6"/>
  <c r="M97" i="6"/>
  <c r="M104" i="6"/>
  <c r="M93" i="6"/>
  <c r="M85" i="6"/>
  <c r="M77" i="6"/>
  <c r="M69" i="6"/>
  <c r="M53" i="6"/>
  <c r="M108" i="6"/>
  <c r="M87" i="6"/>
  <c r="M79" i="6"/>
  <c r="M65" i="6"/>
  <c r="M95" i="6"/>
  <c r="M89" i="6"/>
  <c r="M81" i="6"/>
  <c r="M61" i="6"/>
  <c r="M51" i="6"/>
  <c r="M47" i="6"/>
  <c r="M100" i="6"/>
  <c r="M91" i="6"/>
  <c r="M83" i="6"/>
  <c r="M75" i="6"/>
  <c r="M73" i="6"/>
  <c r="M57" i="6"/>
  <c r="M48" i="6"/>
  <c r="Q140" i="6"/>
  <c r="Q108" i="6"/>
  <c r="Q104" i="6"/>
  <c r="Q107" i="6"/>
  <c r="Q103" i="6"/>
  <c r="Q144" i="6"/>
  <c r="Q128" i="6"/>
  <c r="Q106" i="6"/>
  <c r="Q110" i="6"/>
  <c r="Q95" i="6"/>
  <c r="Q97" i="6"/>
  <c r="Q87" i="6"/>
  <c r="Q79" i="6"/>
  <c r="Q67" i="6"/>
  <c r="Q61" i="6"/>
  <c r="Q102" i="6"/>
  <c r="Q89" i="6"/>
  <c r="Q81" i="6"/>
  <c r="Q73" i="6"/>
  <c r="Q57" i="6"/>
  <c r="Q91" i="6"/>
  <c r="Q83" i="6"/>
  <c r="Q75" i="6"/>
  <c r="Q69" i="6"/>
  <c r="Q64" i="6"/>
  <c r="Q53" i="6"/>
  <c r="Q50" i="6"/>
  <c r="Q93" i="6"/>
  <c r="Q85" i="6"/>
  <c r="Q77" i="6"/>
  <c r="Q71" i="6"/>
  <c r="Q65" i="6"/>
  <c r="Q60" i="6"/>
  <c r="Q55" i="6"/>
  <c r="Q51" i="6"/>
  <c r="Q47" i="6"/>
  <c r="U145" i="6"/>
  <c r="U129" i="6"/>
  <c r="U141" i="6"/>
  <c r="U125" i="6"/>
  <c r="U137" i="6"/>
  <c r="U149" i="6"/>
  <c r="U133" i="6"/>
  <c r="U104" i="6"/>
  <c r="U97" i="6"/>
  <c r="U93" i="6"/>
  <c r="U108" i="6"/>
  <c r="U89" i="6"/>
  <c r="U81" i="6"/>
  <c r="U73" i="6"/>
  <c r="U57" i="6"/>
  <c r="U51" i="6"/>
  <c r="U95" i="6"/>
  <c r="U91" i="6"/>
  <c r="U83" i="6"/>
  <c r="U75" i="6"/>
  <c r="U69" i="6"/>
  <c r="U53" i="6"/>
  <c r="U85" i="6"/>
  <c r="U77" i="6"/>
  <c r="U67" i="6"/>
  <c r="U65" i="6"/>
  <c r="U58" i="6"/>
  <c r="U87" i="6"/>
  <c r="U79" i="6"/>
  <c r="U70" i="6"/>
  <c r="U63" i="6"/>
  <c r="U61" i="6"/>
  <c r="U54" i="6"/>
  <c r="U50" i="6"/>
  <c r="U55" i="6"/>
  <c r="U71" i="6"/>
  <c r="K31" i="6"/>
  <c r="AA31" i="6"/>
  <c r="K32" i="6"/>
  <c r="AA32" i="6"/>
  <c r="K33" i="6"/>
  <c r="AA33" i="6"/>
  <c r="K34" i="6"/>
  <c r="AA34" i="6"/>
  <c r="AA47" i="6"/>
  <c r="G152" i="6"/>
  <c r="G151" i="6"/>
  <c r="G50" i="6"/>
  <c r="G51" i="6"/>
  <c r="G47" i="6"/>
  <c r="G46" i="6"/>
  <c r="G45" i="6"/>
  <c r="G44" i="6"/>
  <c r="G43" i="6"/>
  <c r="G42" i="6"/>
  <c r="G41" i="6"/>
  <c r="G40" i="6"/>
  <c r="G39" i="6"/>
  <c r="G38" i="6"/>
  <c r="G37" i="6"/>
  <c r="G36" i="6"/>
  <c r="K151" i="6"/>
  <c r="K152" i="6"/>
  <c r="K150" i="6"/>
  <c r="K51" i="6"/>
  <c r="K50" i="6"/>
  <c r="K46" i="6"/>
  <c r="K45" i="6"/>
  <c r="K44" i="6"/>
  <c r="K43" i="6"/>
  <c r="K42" i="6"/>
  <c r="K41" i="6"/>
  <c r="K40" i="6"/>
  <c r="K39" i="6"/>
  <c r="K38" i="6"/>
  <c r="K37" i="6"/>
  <c r="K36" i="6"/>
  <c r="O152" i="6"/>
  <c r="O151" i="6"/>
  <c r="O101" i="6"/>
  <c r="O52" i="6"/>
  <c r="O46" i="6"/>
  <c r="O45" i="6"/>
  <c r="O44" i="6"/>
  <c r="O43" i="6"/>
  <c r="O42" i="6"/>
  <c r="O41" i="6"/>
  <c r="O40" i="6"/>
  <c r="O39" i="6"/>
  <c r="O38" i="6"/>
  <c r="O37" i="6"/>
  <c r="O36" i="6"/>
  <c r="S151" i="6"/>
  <c r="S152" i="6"/>
  <c r="S150" i="6"/>
  <c r="S123" i="6"/>
  <c r="S100" i="6"/>
  <c r="S51" i="6"/>
  <c r="S47" i="6"/>
  <c r="S48" i="6"/>
  <c r="S46" i="6"/>
  <c r="S45" i="6"/>
  <c r="S44" i="6"/>
  <c r="S43" i="6"/>
  <c r="S42" i="6"/>
  <c r="S41" i="6"/>
  <c r="S40" i="6"/>
  <c r="S39" i="6"/>
  <c r="S38" i="6"/>
  <c r="S37" i="6"/>
  <c r="S36" i="6"/>
  <c r="W152" i="6"/>
  <c r="W151" i="6"/>
  <c r="W50" i="6"/>
  <c r="W51" i="6"/>
  <c r="W47" i="6"/>
  <c r="W46" i="6"/>
  <c r="W45" i="6"/>
  <c r="W44" i="6"/>
  <c r="W43" i="6"/>
  <c r="W42" i="6"/>
  <c r="W41" i="6"/>
  <c r="W40" i="6"/>
  <c r="W39" i="6"/>
  <c r="W38" i="6"/>
  <c r="W37" i="6"/>
  <c r="W36" i="6"/>
  <c r="AA151" i="6"/>
  <c r="AA51" i="6"/>
  <c r="AA50" i="6"/>
  <c r="AA46" i="6"/>
  <c r="AA45" i="6"/>
  <c r="AA44" i="6"/>
  <c r="AA43" i="6"/>
  <c r="AA42" i="6"/>
  <c r="AA41" i="6"/>
  <c r="AA40" i="6"/>
  <c r="AA39" i="6"/>
  <c r="AA38" i="6"/>
  <c r="AA37" i="6"/>
  <c r="AA36" i="6"/>
  <c r="G4" i="6"/>
  <c r="O4" i="6"/>
  <c r="W4" i="6"/>
  <c r="K5" i="6"/>
  <c r="S5" i="6"/>
  <c r="AA5" i="6"/>
  <c r="G6" i="6"/>
  <c r="O6" i="6"/>
  <c r="W6" i="6"/>
  <c r="K7" i="6"/>
  <c r="S7" i="6"/>
  <c r="AA7" i="6"/>
  <c r="G8" i="6"/>
  <c r="O8" i="6"/>
  <c r="W8" i="6"/>
  <c r="K9" i="6"/>
  <c r="S9" i="6"/>
  <c r="AA9" i="6"/>
  <c r="G10" i="6"/>
  <c r="O10" i="6"/>
  <c r="W10" i="6"/>
  <c r="K11" i="6"/>
  <c r="S11" i="6"/>
  <c r="AA11" i="6"/>
  <c r="G12" i="6"/>
  <c r="O12" i="6"/>
  <c r="W12" i="6"/>
  <c r="K13" i="6"/>
  <c r="S13" i="6"/>
  <c r="AA13" i="6"/>
  <c r="G14" i="6"/>
  <c r="O14" i="6"/>
  <c r="W14" i="6"/>
  <c r="K15" i="6"/>
  <c r="S15" i="6"/>
  <c r="AA15" i="6"/>
  <c r="G16" i="6"/>
  <c r="O16" i="6"/>
  <c r="W16" i="6"/>
  <c r="K17" i="6"/>
  <c r="S17" i="6"/>
  <c r="AA17" i="6"/>
  <c r="G18" i="6"/>
  <c r="O18" i="6"/>
  <c r="W18" i="6"/>
  <c r="K19" i="6"/>
  <c r="S19" i="6"/>
  <c r="AA19" i="6"/>
  <c r="G20" i="6"/>
  <c r="O20" i="6"/>
  <c r="W20" i="6"/>
  <c r="K21" i="6"/>
  <c r="S21" i="6"/>
  <c r="AA21" i="6"/>
  <c r="G22" i="6"/>
  <c r="O22" i="6"/>
  <c r="W22" i="6"/>
  <c r="K23" i="6"/>
  <c r="S23" i="6"/>
  <c r="AA23" i="6"/>
  <c r="G24" i="6"/>
  <c r="O24" i="6"/>
  <c r="W24" i="6"/>
  <c r="K25" i="6"/>
  <c r="S25" i="6"/>
  <c r="AA25" i="6"/>
  <c r="G26" i="6"/>
  <c r="O26" i="6"/>
  <c r="W26" i="6"/>
  <c r="K27" i="6"/>
  <c r="S27" i="6"/>
  <c r="AA27" i="6"/>
  <c r="G28" i="6"/>
  <c r="O28" i="6"/>
  <c r="W28" i="6"/>
  <c r="K29" i="6"/>
  <c r="S29" i="6"/>
  <c r="AA29" i="6"/>
  <c r="G30" i="6"/>
  <c r="O30" i="6"/>
  <c r="W30" i="6"/>
  <c r="O31" i="6"/>
  <c r="O32" i="6"/>
  <c r="O33" i="6"/>
  <c r="O34" i="6"/>
  <c r="O35" i="6"/>
  <c r="X50" i="6"/>
  <c r="U62" i="6"/>
  <c r="T64" i="6"/>
  <c r="AB78" i="6"/>
  <c r="AB86" i="6"/>
  <c r="T96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08" i="6"/>
  <c r="H104" i="6"/>
  <c r="H123" i="6"/>
  <c r="H107" i="6"/>
  <c r="H100" i="6"/>
  <c r="H99" i="6"/>
  <c r="H97" i="6"/>
  <c r="H93" i="6"/>
  <c r="H89" i="6"/>
  <c r="H85" i="6"/>
  <c r="H81" i="6"/>
  <c r="H77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98" i="6"/>
  <c r="H61" i="6"/>
  <c r="H73" i="6"/>
  <c r="H57" i="6"/>
  <c r="H103" i="6"/>
  <c r="H86" i="6"/>
  <c r="H78" i="6"/>
  <c r="H69" i="6"/>
  <c r="H64" i="6"/>
  <c r="H62" i="6"/>
  <c r="H53" i="6"/>
  <c r="H51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94" i="6"/>
  <c r="H88" i="6"/>
  <c r="H80" i="6"/>
  <c r="H65" i="6"/>
  <c r="H60" i="6"/>
  <c r="H58" i="6"/>
  <c r="H52" i="6"/>
  <c r="H48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1" i="6"/>
  <c r="L152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09" i="6"/>
  <c r="L96" i="6"/>
  <c r="L88" i="6"/>
  <c r="L80" i="6"/>
  <c r="L67" i="6"/>
  <c r="L58" i="6"/>
  <c r="L50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99" i="6"/>
  <c r="L90" i="6"/>
  <c r="L82" i="6"/>
  <c r="L74" i="6"/>
  <c r="L70" i="6"/>
  <c r="L63" i="6"/>
  <c r="L54" i="6"/>
  <c r="L51" i="6"/>
  <c r="L4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08" i="6"/>
  <c r="P104" i="6"/>
  <c r="P97" i="6"/>
  <c r="P93" i="6"/>
  <c r="P89" i="6"/>
  <c r="P85" i="6"/>
  <c r="P81" i="6"/>
  <c r="P77" i="6"/>
  <c r="P103" i="6"/>
  <c r="P99" i="6"/>
  <c r="P107" i="6"/>
  <c r="P65" i="6"/>
  <c r="P60" i="6"/>
  <c r="P58" i="6"/>
  <c r="P51" i="6"/>
  <c r="P61" i="6"/>
  <c r="P94" i="6"/>
  <c r="P73" i="6"/>
  <c r="P5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98" i="6"/>
  <c r="P69" i="6"/>
  <c r="P64" i="6"/>
  <c r="P62" i="6"/>
  <c r="P53" i="6"/>
  <c r="P50" i="6"/>
  <c r="T166" i="6"/>
  <c r="T165" i="6"/>
  <c r="T164" i="6"/>
  <c r="T163" i="6"/>
  <c r="T162" i="6"/>
  <c r="T161" i="6"/>
  <c r="T160" i="6"/>
  <c r="T159" i="6"/>
  <c r="T158" i="6"/>
  <c r="T157" i="6"/>
  <c r="T156" i="6"/>
  <c r="T155" i="6"/>
  <c r="T154" i="6"/>
  <c r="T153" i="6"/>
  <c r="T151" i="6"/>
  <c r="T152" i="6"/>
  <c r="T122" i="6"/>
  <c r="T121" i="6"/>
  <c r="T120" i="6"/>
  <c r="T119" i="6"/>
  <c r="T118" i="6"/>
  <c r="T117" i="6"/>
  <c r="T116" i="6"/>
  <c r="T115" i="6"/>
  <c r="T114" i="6"/>
  <c r="T113" i="6"/>
  <c r="T112" i="6"/>
  <c r="T111" i="6"/>
  <c r="T105" i="6"/>
  <c r="T99" i="6"/>
  <c r="T88" i="6"/>
  <c r="T80" i="6"/>
  <c r="T71" i="6"/>
  <c r="T62" i="6"/>
  <c r="T60" i="6"/>
  <c r="T55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86" i="6"/>
  <c r="T78" i="6"/>
  <c r="T72" i="6"/>
  <c r="T67" i="6"/>
  <c r="T58" i="6"/>
  <c r="T56" i="6"/>
  <c r="X166" i="6"/>
  <c r="X165" i="6"/>
  <c r="X164" i="6"/>
  <c r="X163" i="6"/>
  <c r="X162" i="6"/>
  <c r="X161" i="6"/>
  <c r="X160" i="6"/>
  <c r="X159" i="6"/>
  <c r="X158" i="6"/>
  <c r="X157" i="6"/>
  <c r="X156" i="6"/>
  <c r="X155" i="6"/>
  <c r="X154" i="6"/>
  <c r="X153" i="6"/>
  <c r="X152" i="6"/>
  <c r="X151" i="6"/>
  <c r="X123" i="6"/>
  <c r="X108" i="6"/>
  <c r="X104" i="6"/>
  <c r="X122" i="6"/>
  <c r="X121" i="6"/>
  <c r="X120" i="6"/>
  <c r="X119" i="6"/>
  <c r="X118" i="6"/>
  <c r="X117" i="6"/>
  <c r="X116" i="6"/>
  <c r="X115" i="6"/>
  <c r="X114" i="6"/>
  <c r="X113" i="6"/>
  <c r="X112" i="6"/>
  <c r="X111" i="6"/>
  <c r="X99" i="6"/>
  <c r="X97" i="6"/>
  <c r="X93" i="6"/>
  <c r="X89" i="6"/>
  <c r="X85" i="6"/>
  <c r="X81" i="6"/>
  <c r="X77" i="6"/>
  <c r="X73" i="6"/>
  <c r="X103" i="6"/>
  <c r="X100" i="6"/>
  <c r="X107" i="6"/>
  <c r="X69" i="6"/>
  <c r="X53" i="6"/>
  <c r="X94" i="6"/>
  <c r="X65" i="6"/>
  <c r="X86" i="6"/>
  <c r="X78" i="6"/>
  <c r="X61" i="6"/>
  <c r="X51" i="6"/>
  <c r="X47" i="6"/>
  <c r="X46" i="6"/>
  <c r="X45" i="6"/>
  <c r="X44" i="6"/>
  <c r="X43" i="6"/>
  <c r="X42" i="6"/>
  <c r="X41" i="6"/>
  <c r="X40" i="6"/>
  <c r="X39" i="6"/>
  <c r="X38" i="6"/>
  <c r="X37" i="6"/>
  <c r="X36" i="6"/>
  <c r="X35" i="6"/>
  <c r="X34" i="6"/>
  <c r="X33" i="6"/>
  <c r="X32" i="6"/>
  <c r="X31" i="6"/>
  <c r="X88" i="6"/>
  <c r="X80" i="6"/>
  <c r="X57" i="6"/>
  <c r="X52" i="6"/>
  <c r="X48" i="6"/>
  <c r="AB165" i="6"/>
  <c r="AB164" i="6"/>
  <c r="AB163" i="6"/>
  <c r="AB162" i="6"/>
  <c r="AB161" i="6"/>
  <c r="AB160" i="6"/>
  <c r="AB159" i="6"/>
  <c r="AB158" i="6"/>
  <c r="AB157" i="6"/>
  <c r="AB156" i="6"/>
  <c r="AB155" i="6"/>
  <c r="AB154" i="6"/>
  <c r="AB153" i="6"/>
  <c r="AB152" i="6"/>
  <c r="AB151" i="6"/>
  <c r="AB122" i="6"/>
  <c r="AB121" i="6"/>
  <c r="AB120" i="6"/>
  <c r="AB119" i="6"/>
  <c r="AB118" i="6"/>
  <c r="AB117" i="6"/>
  <c r="AB116" i="6"/>
  <c r="AB115" i="6"/>
  <c r="AB114" i="6"/>
  <c r="AB113" i="6"/>
  <c r="AB112" i="6"/>
  <c r="AB111" i="6"/>
  <c r="AB101" i="6"/>
  <c r="AB67" i="6"/>
  <c r="AB58" i="6"/>
  <c r="AB99" i="6"/>
  <c r="AB98" i="6"/>
  <c r="AB88" i="6"/>
  <c r="AB80" i="6"/>
  <c r="AB64" i="6"/>
  <c r="AB50" i="6"/>
  <c r="AB46" i="6"/>
  <c r="AB45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90" i="6"/>
  <c r="AB82" i="6"/>
  <c r="AB74" i="6"/>
  <c r="AB71" i="6"/>
  <c r="AB62" i="6"/>
  <c r="AB60" i="6"/>
  <c r="AB55" i="6"/>
  <c r="AB51" i="6"/>
  <c r="AB47" i="6"/>
  <c r="H4" i="6"/>
  <c r="P4" i="6"/>
  <c r="X4" i="6"/>
  <c r="L5" i="6"/>
  <c r="T5" i="6"/>
  <c r="AB5" i="6"/>
  <c r="H6" i="6"/>
  <c r="P6" i="6"/>
  <c r="X6" i="6"/>
  <c r="L7" i="6"/>
  <c r="T7" i="6"/>
  <c r="AB7" i="6"/>
  <c r="H8" i="6"/>
  <c r="P8" i="6"/>
  <c r="X8" i="6"/>
  <c r="L9" i="6"/>
  <c r="T9" i="6"/>
  <c r="AB9" i="6"/>
  <c r="H10" i="6"/>
  <c r="P10" i="6"/>
  <c r="X10" i="6"/>
  <c r="L11" i="6"/>
  <c r="T11" i="6"/>
  <c r="AB11" i="6"/>
  <c r="H12" i="6"/>
  <c r="P12" i="6"/>
  <c r="X12" i="6"/>
  <c r="L13" i="6"/>
  <c r="T13" i="6"/>
  <c r="AB13" i="6"/>
  <c r="H14" i="6"/>
  <c r="P14" i="6"/>
  <c r="X14" i="6"/>
  <c r="L15" i="6"/>
  <c r="T15" i="6"/>
  <c r="AB15" i="6"/>
  <c r="H16" i="6"/>
  <c r="P16" i="6"/>
  <c r="X16" i="6"/>
  <c r="L17" i="6"/>
  <c r="T17" i="6"/>
  <c r="AB17" i="6"/>
  <c r="H18" i="6"/>
  <c r="P18" i="6"/>
  <c r="X18" i="6"/>
  <c r="L19" i="6"/>
  <c r="T19" i="6"/>
  <c r="AB19" i="6"/>
  <c r="H20" i="6"/>
  <c r="P20" i="6"/>
  <c r="X20" i="6"/>
  <c r="L21" i="6"/>
  <c r="T21" i="6"/>
  <c r="AB21" i="6"/>
  <c r="H22" i="6"/>
  <c r="P22" i="6"/>
  <c r="X22" i="6"/>
  <c r="L23" i="6"/>
  <c r="T23" i="6"/>
  <c r="AB23" i="6"/>
  <c r="H24" i="6"/>
  <c r="P24" i="6"/>
  <c r="X24" i="6"/>
  <c r="L25" i="6"/>
  <c r="T25" i="6"/>
  <c r="AB25" i="6"/>
  <c r="H26" i="6"/>
  <c r="P26" i="6"/>
  <c r="X26" i="6"/>
  <c r="L27" i="6"/>
  <c r="T27" i="6"/>
  <c r="AB27" i="6"/>
  <c r="H28" i="6"/>
  <c r="P28" i="6"/>
  <c r="X28" i="6"/>
  <c r="L29" i="6"/>
  <c r="T29" i="6"/>
  <c r="AB29" i="6"/>
  <c r="H30" i="6"/>
  <c r="P30" i="6"/>
  <c r="X30" i="6"/>
  <c r="S31" i="6"/>
  <c r="S32" i="6"/>
  <c r="S33" i="6"/>
  <c r="S34" i="6"/>
  <c r="S35" i="6"/>
  <c r="Z49" i="6"/>
  <c r="V49" i="6"/>
  <c r="R49" i="6"/>
  <c r="N49" i="6"/>
  <c r="J49" i="6"/>
  <c r="I49" i="6"/>
  <c r="O49" i="6"/>
  <c r="T49" i="6"/>
  <c r="Y49" i="6"/>
  <c r="Y53" i="6"/>
  <c r="AA59" i="6"/>
  <c r="W59" i="6"/>
  <c r="S59" i="6"/>
  <c r="O59" i="6"/>
  <c r="K59" i="6"/>
  <c r="G59" i="6"/>
  <c r="Z59" i="6"/>
  <c r="V59" i="6"/>
  <c r="R59" i="6"/>
  <c r="N59" i="6"/>
  <c r="J59" i="6"/>
  <c r="X59" i="6"/>
  <c r="P59" i="6"/>
  <c r="H59" i="6"/>
  <c r="M59" i="6"/>
  <c r="Y59" i="6"/>
  <c r="Y64" i="6"/>
  <c r="AA66" i="6"/>
  <c r="W66" i="6"/>
  <c r="S66" i="6"/>
  <c r="O66" i="6"/>
  <c r="K66" i="6"/>
  <c r="G66" i="6"/>
  <c r="Z66" i="6"/>
  <c r="V66" i="6"/>
  <c r="R66" i="6"/>
  <c r="N66" i="6"/>
  <c r="J66" i="6"/>
  <c r="Y66" i="6"/>
  <c r="Q66" i="6"/>
  <c r="I66" i="6"/>
  <c r="M66" i="6"/>
  <c r="X66" i="6"/>
  <c r="AA68" i="6"/>
  <c r="W68" i="6"/>
  <c r="S68" i="6"/>
  <c r="O68" i="6"/>
  <c r="K68" i="6"/>
  <c r="G68" i="6"/>
  <c r="Z68" i="6"/>
  <c r="V68" i="6"/>
  <c r="R68" i="6"/>
  <c r="N68" i="6"/>
  <c r="J68" i="6"/>
  <c r="U68" i="6"/>
  <c r="M68" i="6"/>
  <c r="L68" i="6"/>
  <c r="X68" i="6"/>
  <c r="Y69" i="6"/>
  <c r="Y73" i="6"/>
  <c r="AA76" i="6"/>
  <c r="W76" i="6"/>
  <c r="S76" i="6"/>
  <c r="O76" i="6"/>
  <c r="K76" i="6"/>
  <c r="G76" i="6"/>
  <c r="Z76" i="6"/>
  <c r="V76" i="6"/>
  <c r="R76" i="6"/>
  <c r="N76" i="6"/>
  <c r="J76" i="6"/>
  <c r="Y76" i="6"/>
  <c r="Q76" i="6"/>
  <c r="I76" i="6"/>
  <c r="U76" i="6"/>
  <c r="M76" i="6"/>
  <c r="P76" i="6"/>
  <c r="Y81" i="6"/>
  <c r="AA84" i="6"/>
  <c r="W84" i="6"/>
  <c r="S84" i="6"/>
  <c r="O84" i="6"/>
  <c r="K84" i="6"/>
  <c r="G84" i="6"/>
  <c r="Z84" i="6"/>
  <c r="V84" i="6"/>
  <c r="R84" i="6"/>
  <c r="N84" i="6"/>
  <c r="J84" i="6"/>
  <c r="Y84" i="6"/>
  <c r="Q84" i="6"/>
  <c r="I84" i="6"/>
  <c r="U84" i="6"/>
  <c r="M84" i="6"/>
  <c r="P84" i="6"/>
  <c r="Y89" i="6"/>
  <c r="AA92" i="6"/>
  <c r="W92" i="6"/>
  <c r="S92" i="6"/>
  <c r="O92" i="6"/>
  <c r="K92" i="6"/>
  <c r="G92" i="6"/>
  <c r="Z92" i="6"/>
  <c r="V92" i="6"/>
  <c r="R92" i="6"/>
  <c r="N92" i="6"/>
  <c r="J92" i="6"/>
  <c r="Y92" i="6"/>
  <c r="Q92" i="6"/>
  <c r="I92" i="6"/>
  <c r="U92" i="6"/>
  <c r="M92" i="6"/>
  <c r="P92" i="6"/>
  <c r="Y97" i="6"/>
  <c r="L105" i="6"/>
  <c r="Y106" i="6"/>
  <c r="Z48" i="6"/>
  <c r="V48" i="6"/>
  <c r="R48" i="6"/>
  <c r="N48" i="6"/>
  <c r="J48" i="6"/>
  <c r="I48" i="6"/>
  <c r="O48" i="6"/>
  <c r="T48" i="6"/>
  <c r="Y48" i="6"/>
  <c r="K49" i="6"/>
  <c r="P49" i="6"/>
  <c r="U49" i="6"/>
  <c r="AA49" i="6"/>
  <c r="AA52" i="6"/>
  <c r="W52" i="6"/>
  <c r="Z52" i="6"/>
  <c r="V52" i="6"/>
  <c r="R52" i="6"/>
  <c r="N52" i="6"/>
  <c r="J52" i="6"/>
  <c r="U52" i="6"/>
  <c r="P52" i="6"/>
  <c r="K52" i="6"/>
  <c r="I52" i="6"/>
  <c r="Q52" i="6"/>
  <c r="Y52" i="6"/>
  <c r="AA54" i="6"/>
  <c r="W54" i="6"/>
  <c r="S54" i="6"/>
  <c r="O54" i="6"/>
  <c r="K54" i="6"/>
  <c r="G54" i="6"/>
  <c r="Z54" i="6"/>
  <c r="V54" i="6"/>
  <c r="R54" i="6"/>
  <c r="N54" i="6"/>
  <c r="J54" i="6"/>
  <c r="Y54" i="6"/>
  <c r="Q54" i="6"/>
  <c r="I54" i="6"/>
  <c r="M54" i="6"/>
  <c r="X54" i="6"/>
  <c r="AA56" i="6"/>
  <c r="W56" i="6"/>
  <c r="S56" i="6"/>
  <c r="O56" i="6"/>
  <c r="K56" i="6"/>
  <c r="G56" i="6"/>
  <c r="Z56" i="6"/>
  <c r="V56" i="6"/>
  <c r="R56" i="6"/>
  <c r="N56" i="6"/>
  <c r="J56" i="6"/>
  <c r="U56" i="6"/>
  <c r="M56" i="6"/>
  <c r="L56" i="6"/>
  <c r="X56" i="6"/>
  <c r="Y57" i="6"/>
  <c r="Q59" i="6"/>
  <c r="AB59" i="6"/>
  <c r="AA63" i="6"/>
  <c r="W63" i="6"/>
  <c r="S63" i="6"/>
  <c r="O63" i="6"/>
  <c r="K63" i="6"/>
  <c r="G63" i="6"/>
  <c r="Z63" i="6"/>
  <c r="V63" i="6"/>
  <c r="R63" i="6"/>
  <c r="N63" i="6"/>
  <c r="J63" i="6"/>
  <c r="X63" i="6"/>
  <c r="P63" i="6"/>
  <c r="H63" i="6"/>
  <c r="M63" i="6"/>
  <c r="Y63" i="6"/>
  <c r="P66" i="6"/>
  <c r="AB66" i="6"/>
  <c r="P68" i="6"/>
  <c r="Y68" i="6"/>
  <c r="AA70" i="6"/>
  <c r="W70" i="6"/>
  <c r="S70" i="6"/>
  <c r="O70" i="6"/>
  <c r="K70" i="6"/>
  <c r="G70" i="6"/>
  <c r="Z70" i="6"/>
  <c r="V70" i="6"/>
  <c r="R70" i="6"/>
  <c r="N70" i="6"/>
  <c r="J70" i="6"/>
  <c r="Y70" i="6"/>
  <c r="Q70" i="6"/>
  <c r="I70" i="6"/>
  <c r="M70" i="6"/>
  <c r="X70" i="6"/>
  <c r="AA72" i="6"/>
  <c r="W72" i="6"/>
  <c r="S72" i="6"/>
  <c r="O72" i="6"/>
  <c r="K72" i="6"/>
  <c r="G72" i="6"/>
  <c r="Z72" i="6"/>
  <c r="V72" i="6"/>
  <c r="R72" i="6"/>
  <c r="N72" i="6"/>
  <c r="J72" i="6"/>
  <c r="U72" i="6"/>
  <c r="M72" i="6"/>
  <c r="L72" i="6"/>
  <c r="X72" i="6"/>
  <c r="AA74" i="6"/>
  <c r="W74" i="6"/>
  <c r="S74" i="6"/>
  <c r="O74" i="6"/>
  <c r="K74" i="6"/>
  <c r="G74" i="6"/>
  <c r="Z74" i="6"/>
  <c r="V74" i="6"/>
  <c r="R74" i="6"/>
  <c r="N74" i="6"/>
  <c r="J74" i="6"/>
  <c r="U74" i="6"/>
  <c r="M74" i="6"/>
  <c r="Y74" i="6"/>
  <c r="Q74" i="6"/>
  <c r="I74" i="6"/>
  <c r="P74" i="6"/>
  <c r="X75" i="6"/>
  <c r="T76" i="6"/>
  <c r="Y79" i="6"/>
  <c r="AA82" i="6"/>
  <c r="W82" i="6"/>
  <c r="S82" i="6"/>
  <c r="O82" i="6"/>
  <c r="K82" i="6"/>
  <c r="G82" i="6"/>
  <c r="Z82" i="6"/>
  <c r="V82" i="6"/>
  <c r="R82" i="6"/>
  <c r="N82" i="6"/>
  <c r="J82" i="6"/>
  <c r="U82" i="6"/>
  <c r="M82" i="6"/>
  <c r="Y82" i="6"/>
  <c r="Q82" i="6"/>
  <c r="I82" i="6"/>
  <c r="P82" i="6"/>
  <c r="X83" i="6"/>
  <c r="T84" i="6"/>
  <c r="Y87" i="6"/>
  <c r="AA90" i="6"/>
  <c r="W90" i="6"/>
  <c r="S90" i="6"/>
  <c r="O90" i="6"/>
  <c r="K90" i="6"/>
  <c r="G90" i="6"/>
  <c r="Z90" i="6"/>
  <c r="V90" i="6"/>
  <c r="R90" i="6"/>
  <c r="N90" i="6"/>
  <c r="J90" i="6"/>
  <c r="U90" i="6"/>
  <c r="M90" i="6"/>
  <c r="Y90" i="6"/>
  <c r="Q90" i="6"/>
  <c r="I90" i="6"/>
  <c r="P90" i="6"/>
  <c r="X91" i="6"/>
  <c r="T92" i="6"/>
  <c r="Q98" i="6"/>
  <c r="I101" i="6"/>
  <c r="Y149" i="6"/>
  <c r="Y145" i="6"/>
  <c r="Y141" i="6"/>
  <c r="Y137" i="6"/>
  <c r="Y133" i="6"/>
  <c r="Y129" i="6"/>
  <c r="Y125" i="6"/>
  <c r="Y146" i="6"/>
  <c r="Y130" i="6"/>
  <c r="Y142" i="6"/>
  <c r="Y126" i="6"/>
  <c r="Y108" i="6"/>
  <c r="Y104" i="6"/>
  <c r="Y138" i="6"/>
  <c r="Y107" i="6"/>
  <c r="Y103" i="6"/>
  <c r="Y134" i="6"/>
  <c r="Y110" i="6"/>
  <c r="Y95" i="6"/>
  <c r="Y102" i="6"/>
  <c r="I4" i="6"/>
  <c r="M4" i="6"/>
  <c r="Q4" i="6"/>
  <c r="U4" i="6"/>
  <c r="Y4" i="6"/>
  <c r="I5" i="6"/>
  <c r="M5" i="6"/>
  <c r="Q5" i="6"/>
  <c r="U5" i="6"/>
  <c r="Y5" i="6"/>
  <c r="I6" i="6"/>
  <c r="M6" i="6"/>
  <c r="Q6" i="6"/>
  <c r="U6" i="6"/>
  <c r="Y6" i="6"/>
  <c r="I7" i="6"/>
  <c r="M7" i="6"/>
  <c r="Q7" i="6"/>
  <c r="U7" i="6"/>
  <c r="Y7" i="6"/>
  <c r="I8" i="6"/>
  <c r="M8" i="6"/>
  <c r="Q8" i="6"/>
  <c r="U8" i="6"/>
  <c r="Y8" i="6"/>
  <c r="I9" i="6"/>
  <c r="M9" i="6"/>
  <c r="Q9" i="6"/>
  <c r="U9" i="6"/>
  <c r="Y9" i="6"/>
  <c r="I10" i="6"/>
  <c r="M10" i="6"/>
  <c r="Q10" i="6"/>
  <c r="U10" i="6"/>
  <c r="Y10" i="6"/>
  <c r="I11" i="6"/>
  <c r="M11" i="6"/>
  <c r="Q11" i="6"/>
  <c r="U11" i="6"/>
  <c r="Y11" i="6"/>
  <c r="I12" i="6"/>
  <c r="M12" i="6"/>
  <c r="Q12" i="6"/>
  <c r="U12" i="6"/>
  <c r="Y12" i="6"/>
  <c r="I13" i="6"/>
  <c r="M13" i="6"/>
  <c r="Q13" i="6"/>
  <c r="U13" i="6"/>
  <c r="Y13" i="6"/>
  <c r="I14" i="6"/>
  <c r="M14" i="6"/>
  <c r="Q14" i="6"/>
  <c r="U14" i="6"/>
  <c r="Y14" i="6"/>
  <c r="I15" i="6"/>
  <c r="M15" i="6"/>
  <c r="Q15" i="6"/>
  <c r="U15" i="6"/>
  <c r="Y15" i="6"/>
  <c r="I16" i="6"/>
  <c r="M16" i="6"/>
  <c r="Q16" i="6"/>
  <c r="U16" i="6"/>
  <c r="Y16" i="6"/>
  <c r="I17" i="6"/>
  <c r="M17" i="6"/>
  <c r="Q17" i="6"/>
  <c r="U17" i="6"/>
  <c r="Y17" i="6"/>
  <c r="I18" i="6"/>
  <c r="M18" i="6"/>
  <c r="Q18" i="6"/>
  <c r="U18" i="6"/>
  <c r="Y18" i="6"/>
  <c r="I19" i="6"/>
  <c r="M19" i="6"/>
  <c r="Q19" i="6"/>
  <c r="U19" i="6"/>
  <c r="Y19" i="6"/>
  <c r="I20" i="6"/>
  <c r="M20" i="6"/>
  <c r="Q20" i="6"/>
  <c r="U20" i="6"/>
  <c r="Y20" i="6"/>
  <c r="I21" i="6"/>
  <c r="M21" i="6"/>
  <c r="Q21" i="6"/>
  <c r="U21" i="6"/>
  <c r="Y21" i="6"/>
  <c r="I22" i="6"/>
  <c r="M22" i="6"/>
  <c r="Q22" i="6"/>
  <c r="U22" i="6"/>
  <c r="Y22" i="6"/>
  <c r="I23" i="6"/>
  <c r="M23" i="6"/>
  <c r="Q23" i="6"/>
  <c r="U23" i="6"/>
  <c r="Y23" i="6"/>
  <c r="I24" i="6"/>
  <c r="M24" i="6"/>
  <c r="Q24" i="6"/>
  <c r="U24" i="6"/>
  <c r="Y24" i="6"/>
  <c r="I25" i="6"/>
  <c r="M25" i="6"/>
  <c r="Q25" i="6"/>
  <c r="U25" i="6"/>
  <c r="Y25" i="6"/>
  <c r="I26" i="6"/>
  <c r="M26" i="6"/>
  <c r="Q26" i="6"/>
  <c r="U26" i="6"/>
  <c r="Y26" i="6"/>
  <c r="I27" i="6"/>
  <c r="M27" i="6"/>
  <c r="Q27" i="6"/>
  <c r="U27" i="6"/>
  <c r="Y27" i="6"/>
  <c r="I28" i="6"/>
  <c r="M28" i="6"/>
  <c r="Q28" i="6"/>
  <c r="U28" i="6"/>
  <c r="Y28" i="6"/>
  <c r="I29" i="6"/>
  <c r="M29" i="6"/>
  <c r="Q29" i="6"/>
  <c r="U29" i="6"/>
  <c r="Y29" i="6"/>
  <c r="I30" i="6"/>
  <c r="M30" i="6"/>
  <c r="Q30" i="6"/>
  <c r="U30" i="6"/>
  <c r="Y30" i="6"/>
  <c r="I31" i="6"/>
  <c r="M31" i="6"/>
  <c r="Q31" i="6"/>
  <c r="U31" i="6"/>
  <c r="Y31" i="6"/>
  <c r="I32" i="6"/>
  <c r="M32" i="6"/>
  <c r="Q32" i="6"/>
  <c r="U32" i="6"/>
  <c r="Y32" i="6"/>
  <c r="I33" i="6"/>
  <c r="M33" i="6"/>
  <c r="Q33" i="6"/>
  <c r="U33" i="6"/>
  <c r="Y33" i="6"/>
  <c r="I34" i="6"/>
  <c r="M34" i="6"/>
  <c r="Q34" i="6"/>
  <c r="U34" i="6"/>
  <c r="Y34" i="6"/>
  <c r="I35" i="6"/>
  <c r="M35" i="6"/>
  <c r="Q35" i="6"/>
  <c r="U35" i="6"/>
  <c r="Y35" i="6"/>
  <c r="I36" i="6"/>
  <c r="M36" i="6"/>
  <c r="Q36" i="6"/>
  <c r="U36" i="6"/>
  <c r="Y36" i="6"/>
  <c r="I37" i="6"/>
  <c r="M37" i="6"/>
  <c r="Q37" i="6"/>
  <c r="U37" i="6"/>
  <c r="Y37" i="6"/>
  <c r="I38" i="6"/>
  <c r="M38" i="6"/>
  <c r="Q38" i="6"/>
  <c r="U38" i="6"/>
  <c r="Y38" i="6"/>
  <c r="I39" i="6"/>
  <c r="M39" i="6"/>
  <c r="Q39" i="6"/>
  <c r="U39" i="6"/>
  <c r="Y39" i="6"/>
  <c r="I40" i="6"/>
  <c r="M40" i="6"/>
  <c r="Q40" i="6"/>
  <c r="U40" i="6"/>
  <c r="Y40" i="6"/>
  <c r="I41" i="6"/>
  <c r="M41" i="6"/>
  <c r="Q41" i="6"/>
  <c r="U41" i="6"/>
  <c r="Y41" i="6"/>
  <c r="I42" i="6"/>
  <c r="M42" i="6"/>
  <c r="Q42" i="6"/>
  <c r="U42" i="6"/>
  <c r="Y42" i="6"/>
  <c r="I43" i="6"/>
  <c r="M43" i="6"/>
  <c r="Q43" i="6"/>
  <c r="U43" i="6"/>
  <c r="Y43" i="6"/>
  <c r="I44" i="6"/>
  <c r="M44" i="6"/>
  <c r="Q44" i="6"/>
  <c r="U44" i="6"/>
  <c r="I45" i="6"/>
  <c r="M45" i="6"/>
  <c r="Q45" i="6"/>
  <c r="U45" i="6"/>
  <c r="I46" i="6"/>
  <c r="M46" i="6"/>
  <c r="Q46" i="6"/>
  <c r="U46" i="6"/>
  <c r="Z47" i="6"/>
  <c r="V47" i="6"/>
  <c r="R47" i="6"/>
  <c r="N47" i="6"/>
  <c r="J47" i="6"/>
  <c r="I47" i="6"/>
  <c r="O47" i="6"/>
  <c r="T47" i="6"/>
  <c r="Y47" i="6"/>
  <c r="K48" i="6"/>
  <c r="P48" i="6"/>
  <c r="U48" i="6"/>
  <c r="AA48" i="6"/>
  <c r="G49" i="6"/>
  <c r="L49" i="6"/>
  <c r="Q49" i="6"/>
  <c r="W49" i="6"/>
  <c r="AB49" i="6"/>
  <c r="H50" i="6"/>
  <c r="M50" i="6"/>
  <c r="S50" i="6"/>
  <c r="Z51" i="6"/>
  <c r="V51" i="6"/>
  <c r="R51" i="6"/>
  <c r="N51" i="6"/>
  <c r="J51" i="6"/>
  <c r="I51" i="6"/>
  <c r="O51" i="6"/>
  <c r="T51" i="6"/>
  <c r="Y51" i="6"/>
  <c r="L52" i="6"/>
  <c r="S52" i="6"/>
  <c r="AB52" i="6"/>
  <c r="P54" i="6"/>
  <c r="AB54" i="6"/>
  <c r="L55" i="6"/>
  <c r="P56" i="6"/>
  <c r="Y56" i="6"/>
  <c r="AA58" i="6"/>
  <c r="W58" i="6"/>
  <c r="S58" i="6"/>
  <c r="O58" i="6"/>
  <c r="K58" i="6"/>
  <c r="G58" i="6"/>
  <c r="Z58" i="6"/>
  <c r="V58" i="6"/>
  <c r="R58" i="6"/>
  <c r="N58" i="6"/>
  <c r="J58" i="6"/>
  <c r="Y58" i="6"/>
  <c r="Q58" i="6"/>
  <c r="I58" i="6"/>
  <c r="M58" i="6"/>
  <c r="X58" i="6"/>
  <c r="I59" i="6"/>
  <c r="T59" i="6"/>
  <c r="AA60" i="6"/>
  <c r="W60" i="6"/>
  <c r="S60" i="6"/>
  <c r="O60" i="6"/>
  <c r="K60" i="6"/>
  <c r="G60" i="6"/>
  <c r="Z60" i="6"/>
  <c r="V60" i="6"/>
  <c r="R60" i="6"/>
  <c r="N60" i="6"/>
  <c r="J60" i="6"/>
  <c r="U60" i="6"/>
  <c r="M60" i="6"/>
  <c r="L60" i="6"/>
  <c r="X60" i="6"/>
  <c r="Y61" i="6"/>
  <c r="L62" i="6"/>
  <c r="Q63" i="6"/>
  <c r="AB63" i="6"/>
  <c r="I64" i="6"/>
  <c r="H66" i="6"/>
  <c r="T66" i="6"/>
  <c r="AA67" i="6"/>
  <c r="W67" i="6"/>
  <c r="S67" i="6"/>
  <c r="O67" i="6"/>
  <c r="K67" i="6"/>
  <c r="G67" i="6"/>
  <c r="Z67" i="6"/>
  <c r="V67" i="6"/>
  <c r="R67" i="6"/>
  <c r="N67" i="6"/>
  <c r="J67" i="6"/>
  <c r="X67" i="6"/>
  <c r="P67" i="6"/>
  <c r="H67" i="6"/>
  <c r="M67" i="6"/>
  <c r="Y67" i="6"/>
  <c r="H68" i="6"/>
  <c r="Q68" i="6"/>
  <c r="AB68" i="6"/>
  <c r="P70" i="6"/>
  <c r="AB70" i="6"/>
  <c r="L71" i="6"/>
  <c r="P72" i="6"/>
  <c r="Y72" i="6"/>
  <c r="T74" i="6"/>
  <c r="H76" i="6"/>
  <c r="X76" i="6"/>
  <c r="Y77" i="6"/>
  <c r="L78" i="6"/>
  <c r="AA80" i="6"/>
  <c r="W80" i="6"/>
  <c r="S80" i="6"/>
  <c r="O80" i="6"/>
  <c r="K80" i="6"/>
  <c r="G80" i="6"/>
  <c r="Z80" i="6"/>
  <c r="V80" i="6"/>
  <c r="R80" i="6"/>
  <c r="N80" i="6"/>
  <c r="J80" i="6"/>
  <c r="Y80" i="6"/>
  <c r="Q80" i="6"/>
  <c r="I80" i="6"/>
  <c r="U80" i="6"/>
  <c r="M80" i="6"/>
  <c r="P80" i="6"/>
  <c r="T82" i="6"/>
  <c r="H84" i="6"/>
  <c r="X84" i="6"/>
  <c r="Y85" i="6"/>
  <c r="L86" i="6"/>
  <c r="AA88" i="6"/>
  <c r="W88" i="6"/>
  <c r="S88" i="6"/>
  <c r="O88" i="6"/>
  <c r="K88" i="6"/>
  <c r="G88" i="6"/>
  <c r="Z88" i="6"/>
  <c r="V88" i="6"/>
  <c r="R88" i="6"/>
  <c r="N88" i="6"/>
  <c r="J88" i="6"/>
  <c r="Y88" i="6"/>
  <c r="Q88" i="6"/>
  <c r="I88" i="6"/>
  <c r="U88" i="6"/>
  <c r="M88" i="6"/>
  <c r="P88" i="6"/>
  <c r="T90" i="6"/>
  <c r="H92" i="6"/>
  <c r="X92" i="6"/>
  <c r="Y94" i="6"/>
  <c r="J4" i="6"/>
  <c r="N4" i="6"/>
  <c r="R4" i="6"/>
  <c r="V4" i="6"/>
  <c r="J5" i="6"/>
  <c r="N5" i="6"/>
  <c r="R5" i="6"/>
  <c r="V5" i="6"/>
  <c r="J6" i="6"/>
  <c r="N6" i="6"/>
  <c r="R6" i="6"/>
  <c r="V6" i="6"/>
  <c r="J7" i="6"/>
  <c r="N7" i="6"/>
  <c r="R7" i="6"/>
  <c r="V7" i="6"/>
  <c r="J8" i="6"/>
  <c r="N8" i="6"/>
  <c r="R8" i="6"/>
  <c r="V8" i="6"/>
  <c r="J9" i="6"/>
  <c r="N9" i="6"/>
  <c r="R9" i="6"/>
  <c r="V9" i="6"/>
  <c r="J10" i="6"/>
  <c r="N10" i="6"/>
  <c r="R10" i="6"/>
  <c r="V10" i="6"/>
  <c r="J11" i="6"/>
  <c r="N11" i="6"/>
  <c r="R11" i="6"/>
  <c r="V11" i="6"/>
  <c r="J12" i="6"/>
  <c r="N12" i="6"/>
  <c r="R12" i="6"/>
  <c r="V12" i="6"/>
  <c r="J13" i="6"/>
  <c r="N13" i="6"/>
  <c r="R13" i="6"/>
  <c r="V13" i="6"/>
  <c r="J14" i="6"/>
  <c r="N14" i="6"/>
  <c r="R14" i="6"/>
  <c r="V14" i="6"/>
  <c r="J15" i="6"/>
  <c r="N15" i="6"/>
  <c r="R15" i="6"/>
  <c r="V15" i="6"/>
  <c r="J16" i="6"/>
  <c r="N16" i="6"/>
  <c r="R16" i="6"/>
  <c r="V16" i="6"/>
  <c r="J17" i="6"/>
  <c r="N17" i="6"/>
  <c r="R17" i="6"/>
  <c r="V17" i="6"/>
  <c r="J18" i="6"/>
  <c r="N18" i="6"/>
  <c r="R18" i="6"/>
  <c r="V18" i="6"/>
  <c r="J19" i="6"/>
  <c r="N19" i="6"/>
  <c r="R19" i="6"/>
  <c r="V19" i="6"/>
  <c r="J20" i="6"/>
  <c r="N20" i="6"/>
  <c r="R20" i="6"/>
  <c r="V20" i="6"/>
  <c r="J21" i="6"/>
  <c r="N21" i="6"/>
  <c r="R21" i="6"/>
  <c r="V21" i="6"/>
  <c r="J22" i="6"/>
  <c r="N22" i="6"/>
  <c r="R22" i="6"/>
  <c r="V22" i="6"/>
  <c r="J23" i="6"/>
  <c r="N23" i="6"/>
  <c r="R23" i="6"/>
  <c r="V23" i="6"/>
  <c r="J24" i="6"/>
  <c r="N24" i="6"/>
  <c r="R24" i="6"/>
  <c r="V24" i="6"/>
  <c r="J25" i="6"/>
  <c r="N25" i="6"/>
  <c r="R25" i="6"/>
  <c r="V25" i="6"/>
  <c r="J26" i="6"/>
  <c r="N26" i="6"/>
  <c r="R26" i="6"/>
  <c r="V26" i="6"/>
  <c r="J27" i="6"/>
  <c r="N27" i="6"/>
  <c r="R27" i="6"/>
  <c r="V27" i="6"/>
  <c r="J28" i="6"/>
  <c r="N28" i="6"/>
  <c r="R28" i="6"/>
  <c r="V28" i="6"/>
  <c r="J29" i="6"/>
  <c r="N29" i="6"/>
  <c r="R29" i="6"/>
  <c r="V29" i="6"/>
  <c r="J30" i="6"/>
  <c r="N30" i="6"/>
  <c r="R30" i="6"/>
  <c r="V30" i="6"/>
  <c r="J31" i="6"/>
  <c r="N31" i="6"/>
  <c r="R31" i="6"/>
  <c r="V31" i="6"/>
  <c r="J32" i="6"/>
  <c r="N32" i="6"/>
  <c r="R32" i="6"/>
  <c r="V32" i="6"/>
  <c r="J33" i="6"/>
  <c r="N33" i="6"/>
  <c r="R33" i="6"/>
  <c r="V33" i="6"/>
  <c r="J34" i="6"/>
  <c r="N34" i="6"/>
  <c r="R34" i="6"/>
  <c r="V34" i="6"/>
  <c r="J35" i="6"/>
  <c r="N35" i="6"/>
  <c r="R35" i="6"/>
  <c r="V35" i="6"/>
  <c r="J36" i="6"/>
  <c r="N36" i="6"/>
  <c r="R36" i="6"/>
  <c r="V36" i="6"/>
  <c r="J37" i="6"/>
  <c r="N37" i="6"/>
  <c r="R37" i="6"/>
  <c r="V37" i="6"/>
  <c r="J38" i="6"/>
  <c r="N38" i="6"/>
  <c r="R38" i="6"/>
  <c r="V38" i="6"/>
  <c r="J39" i="6"/>
  <c r="N39" i="6"/>
  <c r="R39" i="6"/>
  <c r="V39" i="6"/>
  <c r="J40" i="6"/>
  <c r="N40" i="6"/>
  <c r="R40" i="6"/>
  <c r="V40" i="6"/>
  <c r="J41" i="6"/>
  <c r="N41" i="6"/>
  <c r="R41" i="6"/>
  <c r="V41" i="6"/>
  <c r="J42" i="6"/>
  <c r="N42" i="6"/>
  <c r="R42" i="6"/>
  <c r="V42" i="6"/>
  <c r="J43" i="6"/>
  <c r="N43" i="6"/>
  <c r="R43" i="6"/>
  <c r="V43" i="6"/>
  <c r="J44" i="6"/>
  <c r="N44" i="6"/>
  <c r="R44" i="6"/>
  <c r="V44" i="6"/>
  <c r="J45" i="6"/>
  <c r="N45" i="6"/>
  <c r="R45" i="6"/>
  <c r="V45" i="6"/>
  <c r="J46" i="6"/>
  <c r="N46" i="6"/>
  <c r="R46" i="6"/>
  <c r="V46" i="6"/>
  <c r="K47" i="6"/>
  <c r="P47" i="6"/>
  <c r="U47" i="6"/>
  <c r="G48" i="6"/>
  <c r="L48" i="6"/>
  <c r="Q48" i="6"/>
  <c r="W48" i="6"/>
  <c r="AB48" i="6"/>
  <c r="H49" i="6"/>
  <c r="M49" i="6"/>
  <c r="S49" i="6"/>
  <c r="X49" i="6"/>
  <c r="Z50" i="6"/>
  <c r="V50" i="6"/>
  <c r="R50" i="6"/>
  <c r="N50" i="6"/>
  <c r="J50" i="6"/>
  <c r="I50" i="6"/>
  <c r="O50" i="6"/>
  <c r="T50" i="6"/>
  <c r="Y50" i="6"/>
  <c r="G52" i="6"/>
  <c r="M52" i="6"/>
  <c r="T52" i="6"/>
  <c r="H54" i="6"/>
  <c r="T54" i="6"/>
  <c r="AA55" i="6"/>
  <c r="W55" i="6"/>
  <c r="S55" i="6"/>
  <c r="O55" i="6"/>
  <c r="K55" i="6"/>
  <c r="G55" i="6"/>
  <c r="Z55" i="6"/>
  <c r="V55" i="6"/>
  <c r="R55" i="6"/>
  <c r="N55" i="6"/>
  <c r="J55" i="6"/>
  <c r="X55" i="6"/>
  <c r="P55" i="6"/>
  <c r="H55" i="6"/>
  <c r="M55" i="6"/>
  <c r="Y55" i="6"/>
  <c r="H56" i="6"/>
  <c r="Q56" i="6"/>
  <c r="AB56" i="6"/>
  <c r="L59" i="6"/>
  <c r="U59" i="6"/>
  <c r="Y60" i="6"/>
  <c r="AA62" i="6"/>
  <c r="W62" i="6"/>
  <c r="S62" i="6"/>
  <c r="O62" i="6"/>
  <c r="K62" i="6"/>
  <c r="G62" i="6"/>
  <c r="Z62" i="6"/>
  <c r="V62" i="6"/>
  <c r="R62" i="6"/>
  <c r="N62" i="6"/>
  <c r="J62" i="6"/>
  <c r="Y62" i="6"/>
  <c r="Q62" i="6"/>
  <c r="I62" i="6"/>
  <c r="M62" i="6"/>
  <c r="X62" i="6"/>
  <c r="I63" i="6"/>
  <c r="T63" i="6"/>
  <c r="AA64" i="6"/>
  <c r="W64" i="6"/>
  <c r="S64" i="6"/>
  <c r="O64" i="6"/>
  <c r="K64" i="6"/>
  <c r="G64" i="6"/>
  <c r="Z64" i="6"/>
  <c r="V64" i="6"/>
  <c r="R64" i="6"/>
  <c r="N64" i="6"/>
  <c r="J64" i="6"/>
  <c r="U64" i="6"/>
  <c r="M64" i="6"/>
  <c r="L64" i="6"/>
  <c r="X64" i="6"/>
  <c r="Y65" i="6"/>
  <c r="L66" i="6"/>
  <c r="U66" i="6"/>
  <c r="I68" i="6"/>
  <c r="T68" i="6"/>
  <c r="H70" i="6"/>
  <c r="T70" i="6"/>
  <c r="AA71" i="6"/>
  <c r="W71" i="6"/>
  <c r="S71" i="6"/>
  <c r="O71" i="6"/>
  <c r="K71" i="6"/>
  <c r="G71" i="6"/>
  <c r="Z71" i="6"/>
  <c r="V71" i="6"/>
  <c r="R71" i="6"/>
  <c r="N71" i="6"/>
  <c r="J71" i="6"/>
  <c r="X71" i="6"/>
  <c r="P71" i="6"/>
  <c r="H71" i="6"/>
  <c r="M71" i="6"/>
  <c r="Y71" i="6"/>
  <c r="H72" i="6"/>
  <c r="Q72" i="6"/>
  <c r="AB72" i="6"/>
  <c r="H74" i="6"/>
  <c r="X74" i="6"/>
  <c r="Y75" i="6"/>
  <c r="L76" i="6"/>
  <c r="AB76" i="6"/>
  <c r="AA78" i="6"/>
  <c r="W78" i="6"/>
  <c r="S78" i="6"/>
  <c r="O78" i="6"/>
  <c r="K78" i="6"/>
  <c r="G78" i="6"/>
  <c r="Z78" i="6"/>
  <c r="V78" i="6"/>
  <c r="R78" i="6"/>
  <c r="N78" i="6"/>
  <c r="J78" i="6"/>
  <c r="U78" i="6"/>
  <c r="M78" i="6"/>
  <c r="Y78" i="6"/>
  <c r="Q78" i="6"/>
  <c r="I78" i="6"/>
  <c r="P78" i="6"/>
  <c r="X79" i="6"/>
  <c r="H82" i="6"/>
  <c r="X82" i="6"/>
  <c r="Y83" i="6"/>
  <c r="L84" i="6"/>
  <c r="AB84" i="6"/>
  <c r="AA86" i="6"/>
  <c r="W86" i="6"/>
  <c r="S86" i="6"/>
  <c r="O86" i="6"/>
  <c r="K86" i="6"/>
  <c r="G86" i="6"/>
  <c r="Z86" i="6"/>
  <c r="V86" i="6"/>
  <c r="R86" i="6"/>
  <c r="N86" i="6"/>
  <c r="J86" i="6"/>
  <c r="U86" i="6"/>
  <c r="M86" i="6"/>
  <c r="Y86" i="6"/>
  <c r="Q86" i="6"/>
  <c r="I86" i="6"/>
  <c r="P86" i="6"/>
  <c r="X87" i="6"/>
  <c r="H90" i="6"/>
  <c r="X90" i="6"/>
  <c r="Y91" i="6"/>
  <c r="L92" i="6"/>
  <c r="AB92" i="6"/>
  <c r="X95" i="6"/>
  <c r="AA96" i="6"/>
  <c r="W96" i="6"/>
  <c r="S96" i="6"/>
  <c r="O96" i="6"/>
  <c r="K96" i="6"/>
  <c r="G96" i="6"/>
  <c r="Z96" i="6"/>
  <c r="V96" i="6"/>
  <c r="R96" i="6"/>
  <c r="N96" i="6"/>
  <c r="J96" i="6"/>
  <c r="Y96" i="6"/>
  <c r="Q96" i="6"/>
  <c r="I96" i="6"/>
  <c r="X96" i="6"/>
  <c r="P96" i="6"/>
  <c r="H96" i="6"/>
  <c r="U96" i="6"/>
  <c r="M96" i="6"/>
  <c r="AB96" i="6"/>
  <c r="T109" i="6"/>
  <c r="AA53" i="6"/>
  <c r="W53" i="6"/>
  <c r="S53" i="6"/>
  <c r="O53" i="6"/>
  <c r="K53" i="6"/>
  <c r="G53" i="6"/>
  <c r="Z53" i="6"/>
  <c r="V53" i="6"/>
  <c r="R53" i="6"/>
  <c r="N53" i="6"/>
  <c r="J53" i="6"/>
  <c r="L53" i="6"/>
  <c r="T53" i="6"/>
  <c r="AB53" i="6"/>
  <c r="AA57" i="6"/>
  <c r="W57" i="6"/>
  <c r="S57" i="6"/>
  <c r="O57" i="6"/>
  <c r="K57" i="6"/>
  <c r="G57" i="6"/>
  <c r="Z57" i="6"/>
  <c r="V57" i="6"/>
  <c r="R57" i="6"/>
  <c r="N57" i="6"/>
  <c r="J57" i="6"/>
  <c r="L57" i="6"/>
  <c r="T57" i="6"/>
  <c r="AB57" i="6"/>
  <c r="AA61" i="6"/>
  <c r="W61" i="6"/>
  <c r="S61" i="6"/>
  <c r="O61" i="6"/>
  <c r="K61" i="6"/>
  <c r="G61" i="6"/>
  <c r="Z61" i="6"/>
  <c r="V61" i="6"/>
  <c r="R61" i="6"/>
  <c r="N61" i="6"/>
  <c r="J61" i="6"/>
  <c r="L61" i="6"/>
  <c r="T61" i="6"/>
  <c r="AB61" i="6"/>
  <c r="AA65" i="6"/>
  <c r="W65" i="6"/>
  <c r="S65" i="6"/>
  <c r="O65" i="6"/>
  <c r="K65" i="6"/>
  <c r="G65" i="6"/>
  <c r="Z65" i="6"/>
  <c r="V65" i="6"/>
  <c r="R65" i="6"/>
  <c r="N65" i="6"/>
  <c r="J65" i="6"/>
  <c r="L65" i="6"/>
  <c r="T65" i="6"/>
  <c r="AB65" i="6"/>
  <c r="AA69" i="6"/>
  <c r="W69" i="6"/>
  <c r="S69" i="6"/>
  <c r="O69" i="6"/>
  <c r="K69" i="6"/>
  <c r="G69" i="6"/>
  <c r="Z69" i="6"/>
  <c r="V69" i="6"/>
  <c r="R69" i="6"/>
  <c r="N69" i="6"/>
  <c r="J69" i="6"/>
  <c r="L69" i="6"/>
  <c r="T69" i="6"/>
  <c r="AB69" i="6"/>
  <c r="AA73" i="6"/>
  <c r="W73" i="6"/>
  <c r="S73" i="6"/>
  <c r="O73" i="6"/>
  <c r="K73" i="6"/>
  <c r="G73" i="6"/>
  <c r="Z73" i="6"/>
  <c r="V73" i="6"/>
  <c r="R73" i="6"/>
  <c r="N73" i="6"/>
  <c r="J73" i="6"/>
  <c r="L73" i="6"/>
  <c r="T73" i="6"/>
  <c r="AB73" i="6"/>
  <c r="H75" i="6"/>
  <c r="P75" i="6"/>
  <c r="AA77" i="6"/>
  <c r="W77" i="6"/>
  <c r="S77" i="6"/>
  <c r="O77" i="6"/>
  <c r="K77" i="6"/>
  <c r="G77" i="6"/>
  <c r="Z77" i="6"/>
  <c r="V77" i="6"/>
  <c r="R77" i="6"/>
  <c r="N77" i="6"/>
  <c r="J77" i="6"/>
  <c r="L77" i="6"/>
  <c r="T77" i="6"/>
  <c r="AB77" i="6"/>
  <c r="H79" i="6"/>
  <c r="P79" i="6"/>
  <c r="AA81" i="6"/>
  <c r="W81" i="6"/>
  <c r="S81" i="6"/>
  <c r="O81" i="6"/>
  <c r="K81" i="6"/>
  <c r="G81" i="6"/>
  <c r="Z81" i="6"/>
  <c r="V81" i="6"/>
  <c r="R81" i="6"/>
  <c r="N81" i="6"/>
  <c r="J81" i="6"/>
  <c r="L81" i="6"/>
  <c r="T81" i="6"/>
  <c r="AB81" i="6"/>
  <c r="H83" i="6"/>
  <c r="P83" i="6"/>
  <c r="AA85" i="6"/>
  <c r="W85" i="6"/>
  <c r="S85" i="6"/>
  <c r="O85" i="6"/>
  <c r="K85" i="6"/>
  <c r="G85" i="6"/>
  <c r="Z85" i="6"/>
  <c r="V85" i="6"/>
  <c r="R85" i="6"/>
  <c r="N85" i="6"/>
  <c r="J85" i="6"/>
  <c r="L85" i="6"/>
  <c r="T85" i="6"/>
  <c r="AB85" i="6"/>
  <c r="H87" i="6"/>
  <c r="P87" i="6"/>
  <c r="AA89" i="6"/>
  <c r="W89" i="6"/>
  <c r="S89" i="6"/>
  <c r="O89" i="6"/>
  <c r="K89" i="6"/>
  <c r="G89" i="6"/>
  <c r="Z89" i="6"/>
  <c r="V89" i="6"/>
  <c r="R89" i="6"/>
  <c r="N89" i="6"/>
  <c r="J89" i="6"/>
  <c r="L89" i="6"/>
  <c r="T89" i="6"/>
  <c r="AB89" i="6"/>
  <c r="H91" i="6"/>
  <c r="P91" i="6"/>
  <c r="AA93" i="6"/>
  <c r="W93" i="6"/>
  <c r="S93" i="6"/>
  <c r="O93" i="6"/>
  <c r="K93" i="6"/>
  <c r="G93" i="6"/>
  <c r="Z93" i="6"/>
  <c r="V93" i="6"/>
  <c r="R93" i="6"/>
  <c r="N93" i="6"/>
  <c r="J93" i="6"/>
  <c r="L93" i="6"/>
  <c r="T93" i="6"/>
  <c r="AB93" i="6"/>
  <c r="I94" i="6"/>
  <c r="Q94" i="6"/>
  <c r="H95" i="6"/>
  <c r="P95" i="6"/>
  <c r="AA97" i="6"/>
  <c r="W97" i="6"/>
  <c r="S97" i="6"/>
  <c r="O97" i="6"/>
  <c r="K97" i="6"/>
  <c r="G97" i="6"/>
  <c r="Z97" i="6"/>
  <c r="V97" i="6"/>
  <c r="R97" i="6"/>
  <c r="N97" i="6"/>
  <c r="J97" i="6"/>
  <c r="L97" i="6"/>
  <c r="T97" i="6"/>
  <c r="AB97" i="6"/>
  <c r="I98" i="6"/>
  <c r="AA99" i="6"/>
  <c r="AA94" i="6"/>
  <c r="W94" i="6"/>
  <c r="S94" i="6"/>
  <c r="O94" i="6"/>
  <c r="K94" i="6"/>
  <c r="G94" i="6"/>
  <c r="Z94" i="6"/>
  <c r="V94" i="6"/>
  <c r="R94" i="6"/>
  <c r="N94" i="6"/>
  <c r="J94" i="6"/>
  <c r="L94" i="6"/>
  <c r="T94" i="6"/>
  <c r="AB94" i="6"/>
  <c r="AA98" i="6"/>
  <c r="W98" i="6"/>
  <c r="S98" i="6"/>
  <c r="O98" i="6"/>
  <c r="K98" i="6"/>
  <c r="G98" i="6"/>
  <c r="Z98" i="6"/>
  <c r="V98" i="6"/>
  <c r="R98" i="6"/>
  <c r="N98" i="6"/>
  <c r="J98" i="6"/>
  <c r="Y98" i="6"/>
  <c r="U98" i="6"/>
  <c r="L98" i="6"/>
  <c r="T98" i="6"/>
  <c r="AA109" i="6"/>
  <c r="W109" i="6"/>
  <c r="S109" i="6"/>
  <c r="O109" i="6"/>
  <c r="K109" i="6"/>
  <c r="G109" i="6"/>
  <c r="Z109" i="6"/>
  <c r="V109" i="6"/>
  <c r="R109" i="6"/>
  <c r="N109" i="6"/>
  <c r="J109" i="6"/>
  <c r="Y109" i="6"/>
  <c r="Q109" i="6"/>
  <c r="I109" i="6"/>
  <c r="X109" i="6"/>
  <c r="P109" i="6"/>
  <c r="H109" i="6"/>
  <c r="U109" i="6"/>
  <c r="M109" i="6"/>
  <c r="AB109" i="6"/>
  <c r="Q132" i="6"/>
  <c r="Q148" i="6"/>
  <c r="AA75" i="6"/>
  <c r="W75" i="6"/>
  <c r="S75" i="6"/>
  <c r="O75" i="6"/>
  <c r="K75" i="6"/>
  <c r="G75" i="6"/>
  <c r="Z75" i="6"/>
  <c r="V75" i="6"/>
  <c r="R75" i="6"/>
  <c r="N75" i="6"/>
  <c r="J75" i="6"/>
  <c r="L75" i="6"/>
  <c r="T75" i="6"/>
  <c r="AB75" i="6"/>
  <c r="AA79" i="6"/>
  <c r="W79" i="6"/>
  <c r="S79" i="6"/>
  <c r="O79" i="6"/>
  <c r="K79" i="6"/>
  <c r="G79" i="6"/>
  <c r="Z79" i="6"/>
  <c r="V79" i="6"/>
  <c r="R79" i="6"/>
  <c r="N79" i="6"/>
  <c r="J79" i="6"/>
  <c r="L79" i="6"/>
  <c r="T79" i="6"/>
  <c r="AB79" i="6"/>
  <c r="AA83" i="6"/>
  <c r="W83" i="6"/>
  <c r="S83" i="6"/>
  <c r="O83" i="6"/>
  <c r="K83" i="6"/>
  <c r="G83" i="6"/>
  <c r="Z83" i="6"/>
  <c r="V83" i="6"/>
  <c r="R83" i="6"/>
  <c r="N83" i="6"/>
  <c r="J83" i="6"/>
  <c r="L83" i="6"/>
  <c r="T83" i="6"/>
  <c r="AB83" i="6"/>
  <c r="AA87" i="6"/>
  <c r="W87" i="6"/>
  <c r="S87" i="6"/>
  <c r="O87" i="6"/>
  <c r="K87" i="6"/>
  <c r="G87" i="6"/>
  <c r="Z87" i="6"/>
  <c r="V87" i="6"/>
  <c r="R87" i="6"/>
  <c r="N87" i="6"/>
  <c r="J87" i="6"/>
  <c r="L87" i="6"/>
  <c r="T87" i="6"/>
  <c r="AB87" i="6"/>
  <c r="AA91" i="6"/>
  <c r="W91" i="6"/>
  <c r="S91" i="6"/>
  <c r="O91" i="6"/>
  <c r="K91" i="6"/>
  <c r="G91" i="6"/>
  <c r="Z91" i="6"/>
  <c r="V91" i="6"/>
  <c r="R91" i="6"/>
  <c r="N91" i="6"/>
  <c r="J91" i="6"/>
  <c r="L91" i="6"/>
  <c r="T91" i="6"/>
  <c r="AB91" i="6"/>
  <c r="M94" i="6"/>
  <c r="U94" i="6"/>
  <c r="AA95" i="6"/>
  <c r="W95" i="6"/>
  <c r="S95" i="6"/>
  <c r="O95" i="6"/>
  <c r="K95" i="6"/>
  <c r="G95" i="6"/>
  <c r="Z95" i="6"/>
  <c r="V95" i="6"/>
  <c r="R95" i="6"/>
  <c r="N95" i="6"/>
  <c r="J95" i="6"/>
  <c r="L95" i="6"/>
  <c r="T95" i="6"/>
  <c r="AB95" i="6"/>
  <c r="M98" i="6"/>
  <c r="X98" i="6"/>
  <c r="AA101" i="6"/>
  <c r="W101" i="6"/>
  <c r="Z101" i="6"/>
  <c r="V101" i="6"/>
  <c r="R101" i="6"/>
  <c r="N101" i="6"/>
  <c r="J101" i="6"/>
  <c r="Y101" i="6"/>
  <c r="S101" i="6"/>
  <c r="M101" i="6"/>
  <c r="H101" i="6"/>
  <c r="X101" i="6"/>
  <c r="Q101" i="6"/>
  <c r="L101" i="6"/>
  <c r="G101" i="6"/>
  <c r="U101" i="6"/>
  <c r="P101" i="6"/>
  <c r="K101" i="6"/>
  <c r="T101" i="6"/>
  <c r="AA105" i="6"/>
  <c r="W105" i="6"/>
  <c r="S105" i="6"/>
  <c r="O105" i="6"/>
  <c r="K105" i="6"/>
  <c r="G105" i="6"/>
  <c r="Z105" i="6"/>
  <c r="V105" i="6"/>
  <c r="R105" i="6"/>
  <c r="N105" i="6"/>
  <c r="J105" i="6"/>
  <c r="Y105" i="6"/>
  <c r="Q105" i="6"/>
  <c r="I105" i="6"/>
  <c r="X105" i="6"/>
  <c r="P105" i="6"/>
  <c r="H105" i="6"/>
  <c r="U105" i="6"/>
  <c r="M105" i="6"/>
  <c r="AB105" i="6"/>
  <c r="AB124" i="6"/>
  <c r="X124" i="6"/>
  <c r="T124" i="6"/>
  <c r="P124" i="6"/>
  <c r="L124" i="6"/>
  <c r="AA124" i="6"/>
  <c r="W124" i="6"/>
  <c r="S124" i="6"/>
  <c r="Z124" i="6"/>
  <c r="V124" i="6"/>
  <c r="R124" i="6"/>
  <c r="N124" i="6"/>
  <c r="J124" i="6"/>
  <c r="O124" i="6"/>
  <c r="H124" i="6"/>
  <c r="Y124" i="6"/>
  <c r="M124" i="6"/>
  <c r="G124" i="6"/>
  <c r="U124" i="6"/>
  <c r="K124" i="6"/>
  <c r="AB136" i="6"/>
  <c r="X136" i="6"/>
  <c r="T136" i="6"/>
  <c r="P136" i="6"/>
  <c r="L136" i="6"/>
  <c r="H136" i="6"/>
  <c r="AA136" i="6"/>
  <c r="W136" i="6"/>
  <c r="S136" i="6"/>
  <c r="O136" i="6"/>
  <c r="K136" i="6"/>
  <c r="G136" i="6"/>
  <c r="Z136" i="6"/>
  <c r="V136" i="6"/>
  <c r="R136" i="6"/>
  <c r="N136" i="6"/>
  <c r="J136" i="6"/>
  <c r="M136" i="6"/>
  <c r="Y136" i="6"/>
  <c r="I136" i="6"/>
  <c r="U136" i="6"/>
  <c r="AA153" i="6"/>
  <c r="AA155" i="6"/>
  <c r="AA157" i="6"/>
  <c r="AA159" i="6"/>
  <c r="AA161" i="6"/>
  <c r="AA163" i="6"/>
  <c r="AA165" i="6"/>
  <c r="I99" i="6"/>
  <c r="M99" i="6"/>
  <c r="Q99" i="6"/>
  <c r="U99" i="6"/>
  <c r="Y99" i="6"/>
  <c r="Z100" i="6"/>
  <c r="V100" i="6"/>
  <c r="R100" i="6"/>
  <c r="N100" i="6"/>
  <c r="J100" i="6"/>
  <c r="I100" i="6"/>
  <c r="O100" i="6"/>
  <c r="T100" i="6"/>
  <c r="Y100" i="6"/>
  <c r="AA102" i="6"/>
  <c r="W102" i="6"/>
  <c r="S102" i="6"/>
  <c r="O102" i="6"/>
  <c r="K102" i="6"/>
  <c r="G102" i="6"/>
  <c r="Z102" i="6"/>
  <c r="V102" i="6"/>
  <c r="R102" i="6"/>
  <c r="N102" i="6"/>
  <c r="J102" i="6"/>
  <c r="L102" i="6"/>
  <c r="T102" i="6"/>
  <c r="AB102" i="6"/>
  <c r="AA106" i="6"/>
  <c r="W106" i="6"/>
  <c r="S106" i="6"/>
  <c r="O106" i="6"/>
  <c r="K106" i="6"/>
  <c r="G106" i="6"/>
  <c r="Z106" i="6"/>
  <c r="V106" i="6"/>
  <c r="R106" i="6"/>
  <c r="N106" i="6"/>
  <c r="J106" i="6"/>
  <c r="L106" i="6"/>
  <c r="T106" i="6"/>
  <c r="AB106" i="6"/>
  <c r="AA110" i="6"/>
  <c r="W110" i="6"/>
  <c r="S110" i="6"/>
  <c r="O110" i="6"/>
  <c r="K110" i="6"/>
  <c r="G110" i="6"/>
  <c r="Z110" i="6"/>
  <c r="V110" i="6"/>
  <c r="R110" i="6"/>
  <c r="N110" i="6"/>
  <c r="J110" i="6"/>
  <c r="L110" i="6"/>
  <c r="T110" i="6"/>
  <c r="AB110" i="6"/>
  <c r="AB140" i="6"/>
  <c r="X140" i="6"/>
  <c r="T140" i="6"/>
  <c r="P140" i="6"/>
  <c r="L140" i="6"/>
  <c r="H140" i="6"/>
  <c r="AA140" i="6"/>
  <c r="W140" i="6"/>
  <c r="S140" i="6"/>
  <c r="O140" i="6"/>
  <c r="K140" i="6"/>
  <c r="G140" i="6"/>
  <c r="Z140" i="6"/>
  <c r="V140" i="6"/>
  <c r="R140" i="6"/>
  <c r="N140" i="6"/>
  <c r="J140" i="6"/>
  <c r="M140" i="6"/>
  <c r="Y140" i="6"/>
  <c r="I140" i="6"/>
  <c r="U140" i="6"/>
  <c r="J99" i="6"/>
  <c r="N99" i="6"/>
  <c r="R99" i="6"/>
  <c r="V99" i="6"/>
  <c r="Z99" i="6"/>
  <c r="K100" i="6"/>
  <c r="P100" i="6"/>
  <c r="U100" i="6"/>
  <c r="AA100" i="6"/>
  <c r="M102" i="6"/>
  <c r="U102" i="6"/>
  <c r="AA103" i="6"/>
  <c r="W103" i="6"/>
  <c r="S103" i="6"/>
  <c r="O103" i="6"/>
  <c r="K103" i="6"/>
  <c r="G103" i="6"/>
  <c r="Z103" i="6"/>
  <c r="V103" i="6"/>
  <c r="R103" i="6"/>
  <c r="N103" i="6"/>
  <c r="J103" i="6"/>
  <c r="L103" i="6"/>
  <c r="T103" i="6"/>
  <c r="AB103" i="6"/>
  <c r="M106" i="6"/>
  <c r="U106" i="6"/>
  <c r="AA107" i="6"/>
  <c r="W107" i="6"/>
  <c r="S107" i="6"/>
  <c r="O107" i="6"/>
  <c r="K107" i="6"/>
  <c r="G107" i="6"/>
  <c r="Z107" i="6"/>
  <c r="V107" i="6"/>
  <c r="R107" i="6"/>
  <c r="N107" i="6"/>
  <c r="J107" i="6"/>
  <c r="L107" i="6"/>
  <c r="T107" i="6"/>
  <c r="AB107" i="6"/>
  <c r="M110" i="6"/>
  <c r="U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I124" i="6"/>
  <c r="AB128" i="6"/>
  <c r="X128" i="6"/>
  <c r="T128" i="6"/>
  <c r="P128" i="6"/>
  <c r="L128" i="6"/>
  <c r="H128" i="6"/>
  <c r="AA128" i="6"/>
  <c r="W128" i="6"/>
  <c r="S128" i="6"/>
  <c r="O128" i="6"/>
  <c r="K128" i="6"/>
  <c r="G128" i="6"/>
  <c r="Z128" i="6"/>
  <c r="V128" i="6"/>
  <c r="R128" i="6"/>
  <c r="N128" i="6"/>
  <c r="J128" i="6"/>
  <c r="M128" i="6"/>
  <c r="Y128" i="6"/>
  <c r="I128" i="6"/>
  <c r="U128" i="6"/>
  <c r="Q136" i="6"/>
  <c r="AB144" i="6"/>
  <c r="X144" i="6"/>
  <c r="T144" i="6"/>
  <c r="P144" i="6"/>
  <c r="L144" i="6"/>
  <c r="H144" i="6"/>
  <c r="AA144" i="6"/>
  <c r="W144" i="6"/>
  <c r="S144" i="6"/>
  <c r="O144" i="6"/>
  <c r="K144" i="6"/>
  <c r="G144" i="6"/>
  <c r="Z144" i="6"/>
  <c r="V144" i="6"/>
  <c r="R144" i="6"/>
  <c r="N144" i="6"/>
  <c r="J144" i="6"/>
  <c r="M144" i="6"/>
  <c r="Y144" i="6"/>
  <c r="I144" i="6"/>
  <c r="U144" i="6"/>
  <c r="AA152" i="6"/>
  <c r="G99" i="6"/>
  <c r="K99" i="6"/>
  <c r="O99" i="6"/>
  <c r="S99" i="6"/>
  <c r="W99" i="6"/>
  <c r="G100" i="6"/>
  <c r="L100" i="6"/>
  <c r="Q100" i="6"/>
  <c r="W100" i="6"/>
  <c r="AB100" i="6"/>
  <c r="H102" i="6"/>
  <c r="P102" i="6"/>
  <c r="X102" i="6"/>
  <c r="M103" i="6"/>
  <c r="U103" i="6"/>
  <c r="AA104" i="6"/>
  <c r="W104" i="6"/>
  <c r="S104" i="6"/>
  <c r="O104" i="6"/>
  <c r="K104" i="6"/>
  <c r="G104" i="6"/>
  <c r="Z104" i="6"/>
  <c r="V104" i="6"/>
  <c r="R104" i="6"/>
  <c r="N104" i="6"/>
  <c r="J104" i="6"/>
  <c r="L104" i="6"/>
  <c r="T104" i="6"/>
  <c r="AB104" i="6"/>
  <c r="H106" i="6"/>
  <c r="P106" i="6"/>
  <c r="X106" i="6"/>
  <c r="M107" i="6"/>
  <c r="U107" i="6"/>
  <c r="AA108" i="6"/>
  <c r="W108" i="6"/>
  <c r="S108" i="6"/>
  <c r="O108" i="6"/>
  <c r="K108" i="6"/>
  <c r="G108" i="6"/>
  <c r="Z108" i="6"/>
  <c r="V108" i="6"/>
  <c r="R108" i="6"/>
  <c r="N108" i="6"/>
  <c r="J108" i="6"/>
  <c r="L108" i="6"/>
  <c r="T108" i="6"/>
  <c r="AB108" i="6"/>
  <c r="H110" i="6"/>
  <c r="P110" i="6"/>
  <c r="X110" i="6"/>
  <c r="Q124" i="6"/>
  <c r="AB132" i="6"/>
  <c r="X132" i="6"/>
  <c r="T132" i="6"/>
  <c r="P132" i="6"/>
  <c r="L132" i="6"/>
  <c r="H132" i="6"/>
  <c r="AA132" i="6"/>
  <c r="W132" i="6"/>
  <c r="S132" i="6"/>
  <c r="O132" i="6"/>
  <c r="K132" i="6"/>
  <c r="G132" i="6"/>
  <c r="Z132" i="6"/>
  <c r="V132" i="6"/>
  <c r="R132" i="6"/>
  <c r="N132" i="6"/>
  <c r="J132" i="6"/>
  <c r="M132" i="6"/>
  <c r="Y132" i="6"/>
  <c r="I132" i="6"/>
  <c r="U132" i="6"/>
  <c r="AB148" i="6"/>
  <c r="X148" i="6"/>
  <c r="T148" i="6"/>
  <c r="P148" i="6"/>
  <c r="L148" i="6"/>
  <c r="H148" i="6"/>
  <c r="AA148" i="6"/>
  <c r="W148" i="6"/>
  <c r="S148" i="6"/>
  <c r="O148" i="6"/>
  <c r="K148" i="6"/>
  <c r="G148" i="6"/>
  <c r="Z148" i="6"/>
  <c r="V148" i="6"/>
  <c r="R148" i="6"/>
  <c r="N148" i="6"/>
  <c r="J148" i="6"/>
  <c r="M148" i="6"/>
  <c r="Y148" i="6"/>
  <c r="I148" i="6"/>
  <c r="U148" i="6"/>
  <c r="I111" i="6"/>
  <c r="M111" i="6"/>
  <c r="Q111" i="6"/>
  <c r="U111" i="6"/>
  <c r="Y111" i="6"/>
  <c r="I112" i="6"/>
  <c r="M112" i="6"/>
  <c r="Q112" i="6"/>
  <c r="U112" i="6"/>
  <c r="Y112" i="6"/>
  <c r="I113" i="6"/>
  <c r="M113" i="6"/>
  <c r="Q113" i="6"/>
  <c r="U113" i="6"/>
  <c r="Y113" i="6"/>
  <c r="I114" i="6"/>
  <c r="M114" i="6"/>
  <c r="Q114" i="6"/>
  <c r="U114" i="6"/>
  <c r="Y114" i="6"/>
  <c r="I115" i="6"/>
  <c r="M115" i="6"/>
  <c r="Q115" i="6"/>
  <c r="U115" i="6"/>
  <c r="Y115" i="6"/>
  <c r="I116" i="6"/>
  <c r="M116" i="6"/>
  <c r="Q116" i="6"/>
  <c r="U116" i="6"/>
  <c r="Y116" i="6"/>
  <c r="I117" i="6"/>
  <c r="M117" i="6"/>
  <c r="Q117" i="6"/>
  <c r="U117" i="6"/>
  <c r="Y117" i="6"/>
  <c r="I118" i="6"/>
  <c r="M118" i="6"/>
  <c r="Q118" i="6"/>
  <c r="U118" i="6"/>
  <c r="Y118" i="6"/>
  <c r="I119" i="6"/>
  <c r="M119" i="6"/>
  <c r="Q119" i="6"/>
  <c r="U119" i="6"/>
  <c r="Y119" i="6"/>
  <c r="I120" i="6"/>
  <c r="M120" i="6"/>
  <c r="Q120" i="6"/>
  <c r="U120" i="6"/>
  <c r="Y120" i="6"/>
  <c r="I121" i="6"/>
  <c r="M121" i="6"/>
  <c r="Q121" i="6"/>
  <c r="U121" i="6"/>
  <c r="Y121" i="6"/>
  <c r="I122" i="6"/>
  <c r="M122" i="6"/>
  <c r="Q122" i="6"/>
  <c r="U122" i="6"/>
  <c r="Y122" i="6"/>
  <c r="Z123" i="6"/>
  <c r="V123" i="6"/>
  <c r="R123" i="6"/>
  <c r="N123" i="6"/>
  <c r="J123" i="6"/>
  <c r="I123" i="6"/>
  <c r="O123" i="6"/>
  <c r="T123" i="6"/>
  <c r="Y123" i="6"/>
  <c r="AB127" i="6"/>
  <c r="X127" i="6"/>
  <c r="T127" i="6"/>
  <c r="P127" i="6"/>
  <c r="L127" i="6"/>
  <c r="H127" i="6"/>
  <c r="AA127" i="6"/>
  <c r="W127" i="6"/>
  <c r="S127" i="6"/>
  <c r="O127" i="6"/>
  <c r="K127" i="6"/>
  <c r="G127" i="6"/>
  <c r="Z127" i="6"/>
  <c r="V127" i="6"/>
  <c r="R127" i="6"/>
  <c r="N127" i="6"/>
  <c r="J127" i="6"/>
  <c r="Q127" i="6"/>
  <c r="AB131" i="6"/>
  <c r="X131" i="6"/>
  <c r="T131" i="6"/>
  <c r="P131" i="6"/>
  <c r="L131" i="6"/>
  <c r="H131" i="6"/>
  <c r="AA131" i="6"/>
  <c r="W131" i="6"/>
  <c r="S131" i="6"/>
  <c r="O131" i="6"/>
  <c r="K131" i="6"/>
  <c r="G131" i="6"/>
  <c r="Z131" i="6"/>
  <c r="V131" i="6"/>
  <c r="R131" i="6"/>
  <c r="N131" i="6"/>
  <c r="J131" i="6"/>
  <c r="Q131" i="6"/>
  <c r="AB135" i="6"/>
  <c r="X135" i="6"/>
  <c r="T135" i="6"/>
  <c r="P135" i="6"/>
  <c r="L135" i="6"/>
  <c r="H135" i="6"/>
  <c r="AA135" i="6"/>
  <c r="W135" i="6"/>
  <c r="S135" i="6"/>
  <c r="O135" i="6"/>
  <c r="K135" i="6"/>
  <c r="G135" i="6"/>
  <c r="Z135" i="6"/>
  <c r="V135" i="6"/>
  <c r="R135" i="6"/>
  <c r="N135" i="6"/>
  <c r="J135" i="6"/>
  <c r="Q135" i="6"/>
  <c r="AB139" i="6"/>
  <c r="X139" i="6"/>
  <c r="T139" i="6"/>
  <c r="P139" i="6"/>
  <c r="L139" i="6"/>
  <c r="H139" i="6"/>
  <c r="AA139" i="6"/>
  <c r="W139" i="6"/>
  <c r="S139" i="6"/>
  <c r="O139" i="6"/>
  <c r="K139" i="6"/>
  <c r="G139" i="6"/>
  <c r="Z139" i="6"/>
  <c r="V139" i="6"/>
  <c r="R139" i="6"/>
  <c r="N139" i="6"/>
  <c r="J139" i="6"/>
  <c r="Q139" i="6"/>
  <c r="AB143" i="6"/>
  <c r="X143" i="6"/>
  <c r="T143" i="6"/>
  <c r="P143" i="6"/>
  <c r="L143" i="6"/>
  <c r="H143" i="6"/>
  <c r="AA143" i="6"/>
  <c r="W143" i="6"/>
  <c r="S143" i="6"/>
  <c r="O143" i="6"/>
  <c r="K143" i="6"/>
  <c r="G143" i="6"/>
  <c r="Z143" i="6"/>
  <c r="V143" i="6"/>
  <c r="R143" i="6"/>
  <c r="N143" i="6"/>
  <c r="J143" i="6"/>
  <c r="Q143" i="6"/>
  <c r="AB147" i="6"/>
  <c r="X147" i="6"/>
  <c r="T147" i="6"/>
  <c r="P147" i="6"/>
  <c r="L147" i="6"/>
  <c r="H147" i="6"/>
  <c r="AA147" i="6"/>
  <c r="W147" i="6"/>
  <c r="S147" i="6"/>
  <c r="O147" i="6"/>
  <c r="K147" i="6"/>
  <c r="G147" i="6"/>
  <c r="Z147" i="6"/>
  <c r="V147" i="6"/>
  <c r="R147" i="6"/>
  <c r="N147" i="6"/>
  <c r="J147" i="6"/>
  <c r="Q147" i="6"/>
  <c r="J111" i="6"/>
  <c r="N111" i="6"/>
  <c r="R111" i="6"/>
  <c r="V111" i="6"/>
  <c r="Z111" i="6"/>
  <c r="J112" i="6"/>
  <c r="N112" i="6"/>
  <c r="R112" i="6"/>
  <c r="V112" i="6"/>
  <c r="Z112" i="6"/>
  <c r="J113" i="6"/>
  <c r="N113" i="6"/>
  <c r="R113" i="6"/>
  <c r="V113" i="6"/>
  <c r="Z113" i="6"/>
  <c r="J114" i="6"/>
  <c r="N114" i="6"/>
  <c r="R114" i="6"/>
  <c r="V114" i="6"/>
  <c r="Z114" i="6"/>
  <c r="J115" i="6"/>
  <c r="N115" i="6"/>
  <c r="R115" i="6"/>
  <c r="V115" i="6"/>
  <c r="Z115" i="6"/>
  <c r="J116" i="6"/>
  <c r="N116" i="6"/>
  <c r="R116" i="6"/>
  <c r="V116" i="6"/>
  <c r="Z116" i="6"/>
  <c r="J117" i="6"/>
  <c r="N117" i="6"/>
  <c r="R117" i="6"/>
  <c r="V117" i="6"/>
  <c r="Z117" i="6"/>
  <c r="J118" i="6"/>
  <c r="N118" i="6"/>
  <c r="R118" i="6"/>
  <c r="V118" i="6"/>
  <c r="Z118" i="6"/>
  <c r="J119" i="6"/>
  <c r="N119" i="6"/>
  <c r="R119" i="6"/>
  <c r="V119" i="6"/>
  <c r="Z119" i="6"/>
  <c r="J120" i="6"/>
  <c r="N120" i="6"/>
  <c r="R120" i="6"/>
  <c r="V120" i="6"/>
  <c r="Z120" i="6"/>
  <c r="J121" i="6"/>
  <c r="N121" i="6"/>
  <c r="R121" i="6"/>
  <c r="V121" i="6"/>
  <c r="Z121" i="6"/>
  <c r="J122" i="6"/>
  <c r="N122" i="6"/>
  <c r="R122" i="6"/>
  <c r="V122" i="6"/>
  <c r="Z122" i="6"/>
  <c r="K123" i="6"/>
  <c r="P123" i="6"/>
  <c r="U123" i="6"/>
  <c r="AA123" i="6"/>
  <c r="AB126" i="6"/>
  <c r="X126" i="6"/>
  <c r="T126" i="6"/>
  <c r="P126" i="6"/>
  <c r="L126" i="6"/>
  <c r="H126" i="6"/>
  <c r="AA126" i="6"/>
  <c r="W126" i="6"/>
  <c r="S126" i="6"/>
  <c r="O126" i="6"/>
  <c r="K126" i="6"/>
  <c r="G126" i="6"/>
  <c r="Z126" i="6"/>
  <c r="V126" i="6"/>
  <c r="R126" i="6"/>
  <c r="N126" i="6"/>
  <c r="J126" i="6"/>
  <c r="Q126" i="6"/>
  <c r="U127" i="6"/>
  <c r="AB130" i="6"/>
  <c r="X130" i="6"/>
  <c r="T130" i="6"/>
  <c r="P130" i="6"/>
  <c r="L130" i="6"/>
  <c r="H130" i="6"/>
  <c r="AA130" i="6"/>
  <c r="W130" i="6"/>
  <c r="S130" i="6"/>
  <c r="O130" i="6"/>
  <c r="K130" i="6"/>
  <c r="G130" i="6"/>
  <c r="Z130" i="6"/>
  <c r="V130" i="6"/>
  <c r="R130" i="6"/>
  <c r="N130" i="6"/>
  <c r="J130" i="6"/>
  <c r="Q130" i="6"/>
  <c r="U131" i="6"/>
  <c r="AB134" i="6"/>
  <c r="X134" i="6"/>
  <c r="T134" i="6"/>
  <c r="P134" i="6"/>
  <c r="L134" i="6"/>
  <c r="H134" i="6"/>
  <c r="AA134" i="6"/>
  <c r="W134" i="6"/>
  <c r="S134" i="6"/>
  <c r="O134" i="6"/>
  <c r="K134" i="6"/>
  <c r="G134" i="6"/>
  <c r="Z134" i="6"/>
  <c r="V134" i="6"/>
  <c r="R134" i="6"/>
  <c r="N134" i="6"/>
  <c r="J134" i="6"/>
  <c r="Q134" i="6"/>
  <c r="U135" i="6"/>
  <c r="AB138" i="6"/>
  <c r="X138" i="6"/>
  <c r="T138" i="6"/>
  <c r="P138" i="6"/>
  <c r="L138" i="6"/>
  <c r="H138" i="6"/>
  <c r="AA138" i="6"/>
  <c r="W138" i="6"/>
  <c r="S138" i="6"/>
  <c r="O138" i="6"/>
  <c r="K138" i="6"/>
  <c r="G138" i="6"/>
  <c r="Z138" i="6"/>
  <c r="V138" i="6"/>
  <c r="R138" i="6"/>
  <c r="N138" i="6"/>
  <c r="J138" i="6"/>
  <c r="Q138" i="6"/>
  <c r="U139" i="6"/>
  <c r="AB142" i="6"/>
  <c r="X142" i="6"/>
  <c r="T142" i="6"/>
  <c r="P142" i="6"/>
  <c r="L142" i="6"/>
  <c r="H142" i="6"/>
  <c r="AA142" i="6"/>
  <c r="W142" i="6"/>
  <c r="S142" i="6"/>
  <c r="O142" i="6"/>
  <c r="K142" i="6"/>
  <c r="G142" i="6"/>
  <c r="Z142" i="6"/>
  <c r="V142" i="6"/>
  <c r="R142" i="6"/>
  <c r="N142" i="6"/>
  <c r="J142" i="6"/>
  <c r="Q142" i="6"/>
  <c r="U143" i="6"/>
  <c r="AB146" i="6"/>
  <c r="X146" i="6"/>
  <c r="T146" i="6"/>
  <c r="P146" i="6"/>
  <c r="L146" i="6"/>
  <c r="H146" i="6"/>
  <c r="AA146" i="6"/>
  <c r="W146" i="6"/>
  <c r="S146" i="6"/>
  <c r="O146" i="6"/>
  <c r="K146" i="6"/>
  <c r="G146" i="6"/>
  <c r="Z146" i="6"/>
  <c r="V146" i="6"/>
  <c r="R146" i="6"/>
  <c r="N146" i="6"/>
  <c r="J146" i="6"/>
  <c r="Q146" i="6"/>
  <c r="U147" i="6"/>
  <c r="Z150" i="6"/>
  <c r="V150" i="6"/>
  <c r="R150" i="6"/>
  <c r="N150" i="6"/>
  <c r="J150" i="6"/>
  <c r="Y150" i="6"/>
  <c r="U150" i="6"/>
  <c r="Q150" i="6"/>
  <c r="M150" i="6"/>
  <c r="I150" i="6"/>
  <c r="X150" i="6"/>
  <c r="P150" i="6"/>
  <c r="H150" i="6"/>
  <c r="W150" i="6"/>
  <c r="O150" i="6"/>
  <c r="G150" i="6"/>
  <c r="AB150" i="6"/>
  <c r="T150" i="6"/>
  <c r="L150" i="6"/>
  <c r="AA150" i="6"/>
  <c r="G111" i="6"/>
  <c r="K111" i="6"/>
  <c r="O111" i="6"/>
  <c r="S111" i="6"/>
  <c r="W111" i="6"/>
  <c r="G112" i="6"/>
  <c r="K112" i="6"/>
  <c r="O112" i="6"/>
  <c r="S112" i="6"/>
  <c r="W112" i="6"/>
  <c r="G113" i="6"/>
  <c r="K113" i="6"/>
  <c r="O113" i="6"/>
  <c r="S113" i="6"/>
  <c r="W113" i="6"/>
  <c r="G114" i="6"/>
  <c r="K114" i="6"/>
  <c r="O114" i="6"/>
  <c r="S114" i="6"/>
  <c r="W114" i="6"/>
  <c r="G115" i="6"/>
  <c r="K115" i="6"/>
  <c r="O115" i="6"/>
  <c r="S115" i="6"/>
  <c r="W115" i="6"/>
  <c r="G116" i="6"/>
  <c r="K116" i="6"/>
  <c r="O116" i="6"/>
  <c r="S116" i="6"/>
  <c r="W116" i="6"/>
  <c r="G117" i="6"/>
  <c r="K117" i="6"/>
  <c r="O117" i="6"/>
  <c r="S117" i="6"/>
  <c r="W117" i="6"/>
  <c r="G118" i="6"/>
  <c r="K118" i="6"/>
  <c r="O118" i="6"/>
  <c r="S118" i="6"/>
  <c r="W118" i="6"/>
  <c r="G119" i="6"/>
  <c r="K119" i="6"/>
  <c r="O119" i="6"/>
  <c r="S119" i="6"/>
  <c r="W119" i="6"/>
  <c r="G120" i="6"/>
  <c r="K120" i="6"/>
  <c r="O120" i="6"/>
  <c r="S120" i="6"/>
  <c r="W120" i="6"/>
  <c r="G121" i="6"/>
  <c r="K121" i="6"/>
  <c r="O121" i="6"/>
  <c r="S121" i="6"/>
  <c r="W121" i="6"/>
  <c r="G122" i="6"/>
  <c r="K122" i="6"/>
  <c r="O122" i="6"/>
  <c r="S122" i="6"/>
  <c r="W122" i="6"/>
  <c r="G123" i="6"/>
  <c r="L123" i="6"/>
  <c r="Q123" i="6"/>
  <c r="W123" i="6"/>
  <c r="AB123" i="6"/>
  <c r="AB125" i="6"/>
  <c r="X125" i="6"/>
  <c r="T125" i="6"/>
  <c r="P125" i="6"/>
  <c r="L125" i="6"/>
  <c r="H125" i="6"/>
  <c r="AA125" i="6"/>
  <c r="W125" i="6"/>
  <c r="S125" i="6"/>
  <c r="O125" i="6"/>
  <c r="K125" i="6"/>
  <c r="G125" i="6"/>
  <c r="Z125" i="6"/>
  <c r="V125" i="6"/>
  <c r="R125" i="6"/>
  <c r="N125" i="6"/>
  <c r="J125" i="6"/>
  <c r="Q125" i="6"/>
  <c r="U126" i="6"/>
  <c r="I127" i="6"/>
  <c r="Y127" i="6"/>
  <c r="AB129" i="6"/>
  <c r="X129" i="6"/>
  <c r="T129" i="6"/>
  <c r="P129" i="6"/>
  <c r="L129" i="6"/>
  <c r="H129" i="6"/>
  <c r="AA129" i="6"/>
  <c r="W129" i="6"/>
  <c r="S129" i="6"/>
  <c r="O129" i="6"/>
  <c r="K129" i="6"/>
  <c r="G129" i="6"/>
  <c r="Z129" i="6"/>
  <c r="V129" i="6"/>
  <c r="R129" i="6"/>
  <c r="N129" i="6"/>
  <c r="J129" i="6"/>
  <c r="Q129" i="6"/>
  <c r="U130" i="6"/>
  <c r="I131" i="6"/>
  <c r="Y131" i="6"/>
  <c r="AB133" i="6"/>
  <c r="X133" i="6"/>
  <c r="T133" i="6"/>
  <c r="P133" i="6"/>
  <c r="L133" i="6"/>
  <c r="H133" i="6"/>
  <c r="AA133" i="6"/>
  <c r="W133" i="6"/>
  <c r="S133" i="6"/>
  <c r="O133" i="6"/>
  <c r="K133" i="6"/>
  <c r="G133" i="6"/>
  <c r="Z133" i="6"/>
  <c r="V133" i="6"/>
  <c r="R133" i="6"/>
  <c r="N133" i="6"/>
  <c r="J133" i="6"/>
  <c r="Q133" i="6"/>
  <c r="U134" i="6"/>
  <c r="I135" i="6"/>
  <c r="Y135" i="6"/>
  <c r="AB137" i="6"/>
  <c r="X137" i="6"/>
  <c r="T137" i="6"/>
  <c r="P137" i="6"/>
  <c r="L137" i="6"/>
  <c r="H137" i="6"/>
  <c r="AA137" i="6"/>
  <c r="W137" i="6"/>
  <c r="S137" i="6"/>
  <c r="O137" i="6"/>
  <c r="K137" i="6"/>
  <c r="G137" i="6"/>
  <c r="Z137" i="6"/>
  <c r="V137" i="6"/>
  <c r="R137" i="6"/>
  <c r="N137" i="6"/>
  <c r="J137" i="6"/>
  <c r="Q137" i="6"/>
  <c r="U138" i="6"/>
  <c r="I139" i="6"/>
  <c r="Y139" i="6"/>
  <c r="AB141" i="6"/>
  <c r="X141" i="6"/>
  <c r="T141" i="6"/>
  <c r="P141" i="6"/>
  <c r="L141" i="6"/>
  <c r="H141" i="6"/>
  <c r="AA141" i="6"/>
  <c r="W141" i="6"/>
  <c r="S141" i="6"/>
  <c r="O141" i="6"/>
  <c r="K141" i="6"/>
  <c r="G141" i="6"/>
  <c r="Z141" i="6"/>
  <c r="V141" i="6"/>
  <c r="R141" i="6"/>
  <c r="N141" i="6"/>
  <c r="J141" i="6"/>
  <c r="Q141" i="6"/>
  <c r="U142" i="6"/>
  <c r="I143" i="6"/>
  <c r="Y143" i="6"/>
  <c r="AB145" i="6"/>
  <c r="X145" i="6"/>
  <c r="T145" i="6"/>
  <c r="P145" i="6"/>
  <c r="L145" i="6"/>
  <c r="H145" i="6"/>
  <c r="AA145" i="6"/>
  <c r="W145" i="6"/>
  <c r="S145" i="6"/>
  <c r="O145" i="6"/>
  <c r="K145" i="6"/>
  <c r="G145" i="6"/>
  <c r="Z145" i="6"/>
  <c r="V145" i="6"/>
  <c r="R145" i="6"/>
  <c r="N145" i="6"/>
  <c r="J145" i="6"/>
  <c r="Q145" i="6"/>
  <c r="U146" i="6"/>
  <c r="I147" i="6"/>
  <c r="Y147" i="6"/>
  <c r="AB149" i="6"/>
  <c r="X149" i="6"/>
  <c r="T149" i="6"/>
  <c r="P149" i="6"/>
  <c r="L149" i="6"/>
  <c r="H149" i="6"/>
  <c r="AA149" i="6"/>
  <c r="W149" i="6"/>
  <c r="S149" i="6"/>
  <c r="O149" i="6"/>
  <c r="K149" i="6"/>
  <c r="G149" i="6"/>
  <c r="Z149" i="6"/>
  <c r="V149" i="6"/>
  <c r="R149" i="6"/>
  <c r="N149" i="6"/>
  <c r="J149" i="6"/>
  <c r="Q149" i="6"/>
  <c r="Z151" i="6"/>
  <c r="AA154" i="6"/>
  <c r="AA156" i="6"/>
  <c r="AA158" i="6"/>
  <c r="AA160" i="6"/>
  <c r="AA162" i="6"/>
  <c r="AA164" i="6"/>
  <c r="AB166" i="6"/>
  <c r="I151" i="6"/>
  <c r="M151" i="6"/>
  <c r="Q151" i="6"/>
  <c r="U151" i="6"/>
  <c r="Y151" i="6"/>
  <c r="I152" i="6"/>
  <c r="M152" i="6"/>
  <c r="Q152" i="6"/>
  <c r="U152" i="6"/>
  <c r="Y152" i="6"/>
  <c r="I153" i="6"/>
  <c r="M153" i="6"/>
  <c r="Q153" i="6"/>
  <c r="U153" i="6"/>
  <c r="Y153" i="6"/>
  <c r="I154" i="6"/>
  <c r="M154" i="6"/>
  <c r="Q154" i="6"/>
  <c r="U154" i="6"/>
  <c r="Y154" i="6"/>
  <c r="I155" i="6"/>
  <c r="M155" i="6"/>
  <c r="Q155" i="6"/>
  <c r="U155" i="6"/>
  <c r="Y155" i="6"/>
  <c r="I156" i="6"/>
  <c r="M156" i="6"/>
  <c r="Q156" i="6"/>
  <c r="U156" i="6"/>
  <c r="Y156" i="6"/>
  <c r="I157" i="6"/>
  <c r="M157" i="6"/>
  <c r="Q157" i="6"/>
  <c r="U157" i="6"/>
  <c r="Y157" i="6"/>
  <c r="I158" i="6"/>
  <c r="M158" i="6"/>
  <c r="Q158" i="6"/>
  <c r="U158" i="6"/>
  <c r="Y158" i="6"/>
  <c r="I159" i="6"/>
  <c r="M159" i="6"/>
  <c r="Q159" i="6"/>
  <c r="U159" i="6"/>
  <c r="Y159" i="6"/>
  <c r="I160" i="6"/>
  <c r="M160" i="6"/>
  <c r="Q160" i="6"/>
  <c r="U160" i="6"/>
  <c r="Y160" i="6"/>
  <c r="I161" i="6"/>
  <c r="M161" i="6"/>
  <c r="Q161" i="6"/>
  <c r="U161" i="6"/>
  <c r="Y161" i="6"/>
  <c r="I162" i="6"/>
  <c r="M162" i="6"/>
  <c r="Q162" i="6"/>
  <c r="U162" i="6"/>
  <c r="Y162" i="6"/>
  <c r="I163" i="6"/>
  <c r="M163" i="6"/>
  <c r="Q163" i="6"/>
  <c r="U163" i="6"/>
  <c r="Y163" i="6"/>
  <c r="I164" i="6"/>
  <c r="M164" i="6"/>
  <c r="Q164" i="6"/>
  <c r="U164" i="6"/>
  <c r="Y164" i="6"/>
  <c r="I165" i="6"/>
  <c r="M165" i="6"/>
  <c r="Q165" i="6"/>
  <c r="U165" i="6"/>
  <c r="Y165" i="6"/>
  <c r="I166" i="6"/>
  <c r="M166" i="6"/>
  <c r="Q166" i="6"/>
  <c r="U166" i="6"/>
  <c r="Y166" i="6"/>
  <c r="J151" i="6"/>
  <c r="N151" i="6"/>
  <c r="R151" i="6"/>
  <c r="V151" i="6"/>
  <c r="J152" i="6"/>
  <c r="N152" i="6"/>
  <c r="R152" i="6"/>
  <c r="V152" i="6"/>
  <c r="Z152" i="6"/>
  <c r="J153" i="6"/>
  <c r="N153" i="6"/>
  <c r="R153" i="6"/>
  <c r="V153" i="6"/>
  <c r="Z153" i="6"/>
  <c r="J154" i="6"/>
  <c r="N154" i="6"/>
  <c r="R154" i="6"/>
  <c r="V154" i="6"/>
  <c r="Z154" i="6"/>
  <c r="J155" i="6"/>
  <c r="N155" i="6"/>
  <c r="R155" i="6"/>
  <c r="V155" i="6"/>
  <c r="Z155" i="6"/>
  <c r="J156" i="6"/>
  <c r="N156" i="6"/>
  <c r="R156" i="6"/>
  <c r="V156" i="6"/>
  <c r="Z156" i="6"/>
  <c r="J157" i="6"/>
  <c r="N157" i="6"/>
  <c r="R157" i="6"/>
  <c r="V157" i="6"/>
  <c r="Z157" i="6"/>
  <c r="J158" i="6"/>
  <c r="N158" i="6"/>
  <c r="R158" i="6"/>
  <c r="V158" i="6"/>
  <c r="Z158" i="6"/>
  <c r="J159" i="6"/>
  <c r="N159" i="6"/>
  <c r="R159" i="6"/>
  <c r="V159" i="6"/>
  <c r="Z159" i="6"/>
  <c r="J160" i="6"/>
  <c r="N160" i="6"/>
  <c r="R160" i="6"/>
  <c r="V160" i="6"/>
  <c r="Z160" i="6"/>
  <c r="J161" i="6"/>
  <c r="N161" i="6"/>
  <c r="R161" i="6"/>
  <c r="V161" i="6"/>
  <c r="Z161" i="6"/>
  <c r="J162" i="6"/>
  <c r="N162" i="6"/>
  <c r="R162" i="6"/>
  <c r="V162" i="6"/>
  <c r="Z162" i="6"/>
  <c r="J163" i="6"/>
  <c r="N163" i="6"/>
  <c r="R163" i="6"/>
  <c r="V163" i="6"/>
  <c r="Z163" i="6"/>
  <c r="J164" i="6"/>
  <c r="N164" i="6"/>
  <c r="R164" i="6"/>
  <c r="V164" i="6"/>
  <c r="Z164" i="6"/>
  <c r="J165" i="6"/>
  <c r="N165" i="6"/>
  <c r="R165" i="6"/>
  <c r="V165" i="6"/>
  <c r="Z165" i="6"/>
  <c r="J166" i="6"/>
  <c r="N166" i="6"/>
  <c r="R166" i="6"/>
  <c r="V166" i="6"/>
  <c r="Z166" i="6"/>
  <c r="G153" i="6"/>
  <c r="K153" i="6"/>
  <c r="O153" i="6"/>
  <c r="S153" i="6"/>
  <c r="W153" i="6"/>
  <c r="G154" i="6"/>
  <c r="K154" i="6"/>
  <c r="O154" i="6"/>
  <c r="S154" i="6"/>
  <c r="W154" i="6"/>
  <c r="G155" i="6"/>
  <c r="K155" i="6"/>
  <c r="O155" i="6"/>
  <c r="S155" i="6"/>
  <c r="W155" i="6"/>
  <c r="G156" i="6"/>
  <c r="K156" i="6"/>
  <c r="O156" i="6"/>
  <c r="S156" i="6"/>
  <c r="W156" i="6"/>
  <c r="G157" i="6"/>
  <c r="K157" i="6"/>
  <c r="O157" i="6"/>
  <c r="S157" i="6"/>
  <c r="W157" i="6"/>
  <c r="G158" i="6"/>
  <c r="K158" i="6"/>
  <c r="O158" i="6"/>
  <c r="S158" i="6"/>
  <c r="W158" i="6"/>
  <c r="G159" i="6"/>
  <c r="K159" i="6"/>
  <c r="O159" i="6"/>
  <c r="S159" i="6"/>
  <c r="W159" i="6"/>
  <c r="G160" i="6"/>
  <c r="K160" i="6"/>
  <c r="O160" i="6"/>
  <c r="S160" i="6"/>
  <c r="W160" i="6"/>
  <c r="G161" i="6"/>
  <c r="K161" i="6"/>
  <c r="O161" i="6"/>
  <c r="S161" i="6"/>
  <c r="W161" i="6"/>
  <c r="G162" i="6"/>
  <c r="K162" i="6"/>
  <c r="O162" i="6"/>
  <c r="S162" i="6"/>
  <c r="W162" i="6"/>
  <c r="G163" i="6"/>
  <c r="K163" i="6"/>
  <c r="O163" i="6"/>
  <c r="S163" i="6"/>
  <c r="W163" i="6"/>
  <c r="G164" i="6"/>
  <c r="K164" i="6"/>
  <c r="O164" i="6"/>
  <c r="S164" i="6"/>
  <c r="W164" i="6"/>
  <c r="G165" i="6"/>
  <c r="K165" i="6"/>
  <c r="O165" i="6"/>
  <c r="S165" i="6"/>
  <c r="W165" i="6"/>
  <c r="G166" i="6"/>
  <c r="K166" i="6"/>
  <c r="O166" i="6"/>
  <c r="S166" i="6"/>
  <c r="W166" i="6"/>
  <c r="AA166" i="6"/>
  <c r="E4" i="7" l="1"/>
  <c r="F4" i="7" s="1"/>
  <c r="E5" i="7"/>
  <c r="F5" i="7" s="1"/>
  <c r="E6" i="7"/>
  <c r="F6" i="7" s="1"/>
  <c r="C7" i="7"/>
  <c r="B7" i="7"/>
  <c r="D7" i="7"/>
  <c r="E3" i="7"/>
  <c r="F3" i="7" s="1"/>
  <c r="M100" i="3"/>
  <c r="M93" i="3"/>
  <c r="M91" i="3"/>
  <c r="M89" i="3"/>
  <c r="M87" i="3"/>
  <c r="M85" i="3"/>
  <c r="M83" i="3"/>
  <c r="M81" i="3"/>
  <c r="M79" i="3"/>
  <c r="M77" i="3"/>
  <c r="M75" i="3"/>
  <c r="M73" i="3"/>
  <c r="M71" i="3"/>
  <c r="M69" i="3"/>
  <c r="M62" i="3"/>
  <c r="M60" i="3"/>
  <c r="M58" i="3"/>
  <c r="M56" i="3"/>
  <c r="M54" i="3"/>
  <c r="M52" i="3"/>
  <c r="M50" i="3"/>
  <c r="M99" i="3"/>
  <c r="M92" i="3"/>
  <c r="M90" i="3"/>
  <c r="M88" i="3"/>
  <c r="M86" i="3"/>
  <c r="M84" i="3"/>
  <c r="M82" i="3"/>
  <c r="M80" i="3"/>
  <c r="M78" i="3"/>
  <c r="M76" i="3"/>
  <c r="M74" i="3"/>
  <c r="M72" i="3"/>
  <c r="M70" i="3"/>
  <c r="M68" i="3"/>
  <c r="M61" i="3"/>
  <c r="M59" i="3"/>
  <c r="M57" i="3"/>
  <c r="M55" i="3"/>
  <c r="M53" i="3"/>
  <c r="M51" i="3"/>
  <c r="M49" i="3"/>
  <c r="M47" i="3"/>
  <c r="M48" i="3"/>
  <c r="M45" i="3"/>
  <c r="M43" i="3"/>
  <c r="M41" i="3"/>
  <c r="M39" i="3"/>
  <c r="M37" i="3"/>
  <c r="M30" i="3"/>
  <c r="M28" i="3"/>
  <c r="M26" i="3"/>
  <c r="M24" i="3"/>
  <c r="M22" i="3"/>
  <c r="M20" i="3"/>
  <c r="M18" i="3"/>
  <c r="M16" i="3"/>
  <c r="M14" i="3"/>
  <c r="M12" i="3"/>
  <c r="M10" i="3"/>
  <c r="M8" i="3"/>
  <c r="M6" i="3"/>
  <c r="B15" i="2"/>
  <c r="M46" i="3"/>
  <c r="M44" i="3"/>
  <c r="M42" i="3"/>
  <c r="M40" i="3"/>
  <c r="M38" i="3"/>
  <c r="M31" i="3"/>
  <c r="M29" i="3"/>
  <c r="M27" i="3"/>
  <c r="M25" i="3"/>
  <c r="M23" i="3"/>
  <c r="M21" i="3"/>
  <c r="M19" i="3"/>
  <c r="M17" i="3"/>
  <c r="M15" i="3"/>
  <c r="M13" i="3"/>
  <c r="M11" i="3"/>
  <c r="M9" i="3"/>
  <c r="M7" i="3"/>
  <c r="D15" i="2"/>
  <c r="C15" i="2"/>
  <c r="U100" i="3"/>
  <c r="U93" i="3"/>
  <c r="U91" i="3"/>
  <c r="U89" i="3"/>
  <c r="U87" i="3"/>
  <c r="U85" i="3"/>
  <c r="U83" i="3"/>
  <c r="U81" i="3"/>
  <c r="U79" i="3"/>
  <c r="U77" i="3"/>
  <c r="U75" i="3"/>
  <c r="U73" i="3"/>
  <c r="U71" i="3"/>
  <c r="U69" i="3"/>
  <c r="U62" i="3"/>
  <c r="U60" i="3"/>
  <c r="U58" i="3"/>
  <c r="U56" i="3"/>
  <c r="U54" i="3"/>
  <c r="U52" i="3"/>
  <c r="U50" i="3"/>
  <c r="U99" i="3"/>
  <c r="U92" i="3"/>
  <c r="U90" i="3"/>
  <c r="U88" i="3"/>
  <c r="U86" i="3"/>
  <c r="U84" i="3"/>
  <c r="U82" i="3"/>
  <c r="U80" i="3"/>
  <c r="U78" i="3"/>
  <c r="U76" i="3"/>
  <c r="U74" i="3"/>
  <c r="U72" i="3"/>
  <c r="U70" i="3"/>
  <c r="U68" i="3"/>
  <c r="U61" i="3"/>
  <c r="U59" i="3"/>
  <c r="U57" i="3"/>
  <c r="U55" i="3"/>
  <c r="U53" i="3"/>
  <c r="U51" i="3"/>
  <c r="U49" i="3"/>
  <c r="U47" i="3"/>
  <c r="U45" i="3"/>
  <c r="U43" i="3"/>
  <c r="U41" i="3"/>
  <c r="U39" i="3"/>
  <c r="U37" i="3"/>
  <c r="U30" i="3"/>
  <c r="U28" i="3"/>
  <c r="U26" i="3"/>
  <c r="U24" i="3"/>
  <c r="U22" i="3"/>
  <c r="U20" i="3"/>
  <c r="U18" i="3"/>
  <c r="U16" i="3"/>
  <c r="U14" i="3"/>
  <c r="U12" i="3"/>
  <c r="U10" i="3"/>
  <c r="U8" i="3"/>
  <c r="U6" i="3"/>
  <c r="B23" i="2"/>
  <c r="U48" i="3"/>
  <c r="U46" i="3"/>
  <c r="U44" i="3"/>
  <c r="U42" i="3"/>
  <c r="U40" i="3"/>
  <c r="U38" i="3"/>
  <c r="U31" i="3"/>
  <c r="U29" i="3"/>
  <c r="U27" i="3"/>
  <c r="U25" i="3"/>
  <c r="U23" i="3"/>
  <c r="U21" i="3"/>
  <c r="U19" i="3"/>
  <c r="U17" i="3"/>
  <c r="U15" i="3"/>
  <c r="U13" i="3"/>
  <c r="U11" i="3"/>
  <c r="U9" i="3"/>
  <c r="D23" i="2"/>
  <c r="C23" i="2"/>
  <c r="U7" i="3"/>
  <c r="T91" i="3"/>
  <c r="T87" i="3"/>
  <c r="T83" i="3"/>
  <c r="T79" i="3"/>
  <c r="T75" i="3"/>
  <c r="T71" i="3"/>
  <c r="T60" i="3"/>
  <c r="T56" i="3"/>
  <c r="T52" i="3"/>
  <c r="T46" i="3"/>
  <c r="T44" i="3"/>
  <c r="T42" i="3"/>
  <c r="T99" i="3"/>
  <c r="T92" i="3"/>
  <c r="T88" i="3"/>
  <c r="T84" i="3"/>
  <c r="T80" i="3"/>
  <c r="T76" i="3"/>
  <c r="T72" i="3"/>
  <c r="T68" i="3"/>
  <c r="T61" i="3"/>
  <c r="T57" i="3"/>
  <c r="T53" i="3"/>
  <c r="T100" i="3"/>
  <c r="T93" i="3"/>
  <c r="T89" i="3"/>
  <c r="T85" i="3"/>
  <c r="T81" i="3"/>
  <c r="T77" i="3"/>
  <c r="T73" i="3"/>
  <c r="T69" i="3"/>
  <c r="T62" i="3"/>
  <c r="T58" i="3"/>
  <c r="T54" i="3"/>
  <c r="T50" i="3"/>
  <c r="T49" i="3"/>
  <c r="T45" i="3"/>
  <c r="T43" i="3"/>
  <c r="T41" i="3"/>
  <c r="T39" i="3"/>
  <c r="T37" i="3"/>
  <c r="T30" i="3"/>
  <c r="T28" i="3"/>
  <c r="T26" i="3"/>
  <c r="T24" i="3"/>
  <c r="T22" i="3"/>
  <c r="T20" i="3"/>
  <c r="T18" i="3"/>
  <c r="T16" i="3"/>
  <c r="T14" i="3"/>
  <c r="T12" i="3"/>
  <c r="T10" i="3"/>
  <c r="T8" i="3"/>
  <c r="T6" i="3"/>
  <c r="T90" i="3"/>
  <c r="T86" i="3"/>
  <c r="T82" i="3"/>
  <c r="T78" i="3"/>
  <c r="T74" i="3"/>
  <c r="T70" i="3"/>
  <c r="T59" i="3"/>
  <c r="T55" i="3"/>
  <c r="T51" i="3"/>
  <c r="T48" i="3"/>
  <c r="T47" i="3"/>
  <c r="T31" i="3"/>
  <c r="T23" i="3"/>
  <c r="T15" i="3"/>
  <c r="T25" i="3"/>
  <c r="T17" i="3"/>
  <c r="T9" i="3"/>
  <c r="D22" i="2"/>
  <c r="T38" i="3"/>
  <c r="T27" i="3"/>
  <c r="T19" i="3"/>
  <c r="T11" i="3"/>
  <c r="C22" i="2"/>
  <c r="T40" i="3"/>
  <c r="T29" i="3"/>
  <c r="T21" i="3"/>
  <c r="T13" i="3"/>
  <c r="T7" i="3"/>
  <c r="B22" i="2"/>
  <c r="E22" i="2" s="1"/>
  <c r="D91" i="3"/>
  <c r="D87" i="3"/>
  <c r="D83" i="3"/>
  <c r="D79" i="3"/>
  <c r="D75" i="3"/>
  <c r="D71" i="3"/>
  <c r="D60" i="3"/>
  <c r="D56" i="3"/>
  <c r="D52" i="3"/>
  <c r="D46" i="3"/>
  <c r="D44" i="3"/>
  <c r="D42" i="3"/>
  <c r="D99" i="3"/>
  <c r="D92" i="3"/>
  <c r="D88" i="3"/>
  <c r="D84" i="3"/>
  <c r="D80" i="3"/>
  <c r="D76" i="3"/>
  <c r="D72" i="3"/>
  <c r="D68" i="3"/>
  <c r="D61" i="3"/>
  <c r="D57" i="3"/>
  <c r="D53" i="3"/>
  <c r="D100" i="3"/>
  <c r="D93" i="3"/>
  <c r="D89" i="3"/>
  <c r="D85" i="3"/>
  <c r="D81" i="3"/>
  <c r="D77" i="3"/>
  <c r="D73" i="3"/>
  <c r="D69" i="3"/>
  <c r="D62" i="3"/>
  <c r="D58" i="3"/>
  <c r="D54" i="3"/>
  <c r="D50" i="3"/>
  <c r="D49" i="3"/>
  <c r="D45" i="3"/>
  <c r="D43" i="3"/>
  <c r="D41" i="3"/>
  <c r="D39" i="3"/>
  <c r="D37" i="3"/>
  <c r="D30" i="3"/>
  <c r="D28" i="3"/>
  <c r="D26" i="3"/>
  <c r="D24" i="3"/>
  <c r="D22" i="3"/>
  <c r="D20" i="3"/>
  <c r="D18" i="3"/>
  <c r="D16" i="3"/>
  <c r="D14" i="3"/>
  <c r="D12" i="3"/>
  <c r="D10" i="3"/>
  <c r="D8" i="3"/>
  <c r="D90" i="3"/>
  <c r="D86" i="3"/>
  <c r="D82" i="3"/>
  <c r="D78" i="3"/>
  <c r="D74" i="3"/>
  <c r="D70" i="3"/>
  <c r="D59" i="3"/>
  <c r="D55" i="3"/>
  <c r="D51" i="3"/>
  <c r="D48" i="3"/>
  <c r="D47" i="3"/>
  <c r="D31" i="3"/>
  <c r="D23" i="3"/>
  <c r="D15" i="3"/>
  <c r="C6" i="2"/>
  <c r="D25" i="3"/>
  <c r="D17" i="3"/>
  <c r="D9" i="3"/>
  <c r="D6" i="3"/>
  <c r="B6" i="2"/>
  <c r="D38" i="3"/>
  <c r="D27" i="3"/>
  <c r="D19" i="3"/>
  <c r="D11" i="3"/>
  <c r="D40" i="3"/>
  <c r="D29" i="3"/>
  <c r="D21" i="3"/>
  <c r="D13" i="3"/>
  <c r="D7" i="3"/>
  <c r="D6" i="2"/>
  <c r="S99" i="3"/>
  <c r="S92" i="3"/>
  <c r="S90" i="3"/>
  <c r="S88" i="3"/>
  <c r="S86" i="3"/>
  <c r="S84" i="3"/>
  <c r="S82" i="3"/>
  <c r="S80" i="3"/>
  <c r="S78" i="3"/>
  <c r="S76" i="3"/>
  <c r="S74" i="3"/>
  <c r="S72" i="3"/>
  <c r="S70" i="3"/>
  <c r="S68" i="3"/>
  <c r="S61" i="3"/>
  <c r="S59" i="3"/>
  <c r="S57" i="3"/>
  <c r="S55" i="3"/>
  <c r="S53" i="3"/>
  <c r="S51" i="3"/>
  <c r="S100" i="3"/>
  <c r="S93" i="3"/>
  <c r="S91" i="3"/>
  <c r="S89" i="3"/>
  <c r="S87" i="3"/>
  <c r="S85" i="3"/>
  <c r="S83" i="3"/>
  <c r="S81" i="3"/>
  <c r="S79" i="3"/>
  <c r="S77" i="3"/>
  <c r="S75" i="3"/>
  <c r="S73" i="3"/>
  <c r="S71" i="3"/>
  <c r="S69" i="3"/>
  <c r="S62" i="3"/>
  <c r="S60" i="3"/>
  <c r="S58" i="3"/>
  <c r="S56" i="3"/>
  <c r="S54" i="3"/>
  <c r="S52" i="3"/>
  <c r="S50" i="3"/>
  <c r="S48" i="3"/>
  <c r="S47" i="3"/>
  <c r="S46" i="3"/>
  <c r="S44" i="3"/>
  <c r="S42" i="3"/>
  <c r="S40" i="3"/>
  <c r="S38" i="3"/>
  <c r="S31" i="3"/>
  <c r="S29" i="3"/>
  <c r="S27" i="3"/>
  <c r="S25" i="3"/>
  <c r="S23" i="3"/>
  <c r="S21" i="3"/>
  <c r="S19" i="3"/>
  <c r="S17" i="3"/>
  <c r="S15" i="3"/>
  <c r="S13" i="3"/>
  <c r="S11" i="3"/>
  <c r="S9" i="3"/>
  <c r="S7" i="3"/>
  <c r="D21" i="2"/>
  <c r="S49" i="3"/>
  <c r="S45" i="3"/>
  <c r="S43" i="3"/>
  <c r="S41" i="3"/>
  <c r="S39" i="3"/>
  <c r="S37" i="3"/>
  <c r="S63" i="3" s="1"/>
  <c r="S64" i="3" s="1"/>
  <c r="G21" i="2" s="1"/>
  <c r="S30" i="3"/>
  <c r="S28" i="3"/>
  <c r="S26" i="3"/>
  <c r="S24" i="3"/>
  <c r="S22" i="3"/>
  <c r="S20" i="3"/>
  <c r="S18" i="3"/>
  <c r="S16" i="3"/>
  <c r="S14" i="3"/>
  <c r="S12" i="3"/>
  <c r="S10" i="3"/>
  <c r="S8" i="3"/>
  <c r="B21" i="2"/>
  <c r="E21" i="2" s="1"/>
  <c r="S6" i="3"/>
  <c r="C21" i="2"/>
  <c r="F99" i="3"/>
  <c r="F92" i="3"/>
  <c r="F88" i="3"/>
  <c r="F84" i="3"/>
  <c r="F80" i="3"/>
  <c r="F76" i="3"/>
  <c r="F72" i="3"/>
  <c r="F68" i="3"/>
  <c r="F61" i="3"/>
  <c r="F57" i="3"/>
  <c r="F53" i="3"/>
  <c r="F45" i="3"/>
  <c r="F43" i="3"/>
  <c r="F100" i="3"/>
  <c r="F93" i="3"/>
  <c r="F89" i="3"/>
  <c r="F85" i="3"/>
  <c r="F81" i="3"/>
  <c r="F77" i="3"/>
  <c r="F73" i="3"/>
  <c r="F69" i="3"/>
  <c r="F62" i="3"/>
  <c r="F58" i="3"/>
  <c r="F54" i="3"/>
  <c r="F50" i="3"/>
  <c r="F49" i="3"/>
  <c r="F48" i="3"/>
  <c r="F90" i="3"/>
  <c r="F86" i="3"/>
  <c r="F82" i="3"/>
  <c r="F78" i="3"/>
  <c r="F74" i="3"/>
  <c r="F70" i="3"/>
  <c r="F59" i="3"/>
  <c r="F55" i="3"/>
  <c r="F51" i="3"/>
  <c r="F47" i="3"/>
  <c r="F46" i="3"/>
  <c r="F44" i="3"/>
  <c r="F42" i="3"/>
  <c r="F40" i="3"/>
  <c r="F38" i="3"/>
  <c r="F31" i="3"/>
  <c r="F29" i="3"/>
  <c r="F27" i="3"/>
  <c r="F25" i="3"/>
  <c r="F23" i="3"/>
  <c r="F21" i="3"/>
  <c r="F19" i="3"/>
  <c r="F17" i="3"/>
  <c r="F15" i="3"/>
  <c r="F13" i="3"/>
  <c r="F11" i="3"/>
  <c r="F9" i="3"/>
  <c r="F7" i="3"/>
  <c r="F91" i="3"/>
  <c r="F87" i="3"/>
  <c r="F83" i="3"/>
  <c r="F79" i="3"/>
  <c r="F75" i="3"/>
  <c r="F71" i="3"/>
  <c r="F60" i="3"/>
  <c r="F56" i="3"/>
  <c r="F52" i="3"/>
  <c r="F39" i="3"/>
  <c r="F28" i="3"/>
  <c r="F20" i="3"/>
  <c r="F12" i="3"/>
  <c r="F6" i="3"/>
  <c r="F41" i="3"/>
  <c r="F30" i="3"/>
  <c r="F22" i="3"/>
  <c r="F14" i="3"/>
  <c r="D8" i="2"/>
  <c r="F24" i="3"/>
  <c r="F16" i="3"/>
  <c r="C8" i="2"/>
  <c r="F37" i="3"/>
  <c r="F26" i="3"/>
  <c r="F18" i="3"/>
  <c r="F10" i="3"/>
  <c r="F8" i="3"/>
  <c r="B8" i="2"/>
  <c r="I100" i="3"/>
  <c r="I93" i="3"/>
  <c r="I91" i="3"/>
  <c r="I89" i="3"/>
  <c r="I87" i="3"/>
  <c r="I85" i="3"/>
  <c r="I83" i="3"/>
  <c r="I81" i="3"/>
  <c r="I79" i="3"/>
  <c r="I77" i="3"/>
  <c r="I75" i="3"/>
  <c r="I73" i="3"/>
  <c r="I71" i="3"/>
  <c r="I69" i="3"/>
  <c r="I62" i="3"/>
  <c r="I60" i="3"/>
  <c r="I58" i="3"/>
  <c r="I56" i="3"/>
  <c r="I54" i="3"/>
  <c r="I52" i="3"/>
  <c r="I50" i="3"/>
  <c r="I99" i="3"/>
  <c r="I92" i="3"/>
  <c r="I90" i="3"/>
  <c r="I88" i="3"/>
  <c r="I86" i="3"/>
  <c r="I84" i="3"/>
  <c r="I82" i="3"/>
  <c r="I80" i="3"/>
  <c r="I78" i="3"/>
  <c r="I76" i="3"/>
  <c r="I74" i="3"/>
  <c r="I72" i="3"/>
  <c r="I70" i="3"/>
  <c r="I68" i="3"/>
  <c r="I61" i="3"/>
  <c r="I59" i="3"/>
  <c r="I57" i="3"/>
  <c r="I55" i="3"/>
  <c r="I53" i="3"/>
  <c r="I51" i="3"/>
  <c r="I49" i="3"/>
  <c r="I47" i="3"/>
  <c r="I45" i="3"/>
  <c r="I43" i="3"/>
  <c r="I41" i="3"/>
  <c r="I39" i="3"/>
  <c r="I37" i="3"/>
  <c r="I30" i="3"/>
  <c r="I28" i="3"/>
  <c r="I26" i="3"/>
  <c r="I24" i="3"/>
  <c r="I22" i="3"/>
  <c r="I20" i="3"/>
  <c r="I18" i="3"/>
  <c r="I16" i="3"/>
  <c r="I14" i="3"/>
  <c r="I12" i="3"/>
  <c r="I10" i="3"/>
  <c r="I8" i="3"/>
  <c r="I6" i="3"/>
  <c r="I48" i="3"/>
  <c r="I46" i="3"/>
  <c r="I44" i="3"/>
  <c r="I42" i="3"/>
  <c r="I40" i="3"/>
  <c r="I38" i="3"/>
  <c r="I31" i="3"/>
  <c r="I29" i="3"/>
  <c r="I27" i="3"/>
  <c r="I25" i="3"/>
  <c r="I23" i="3"/>
  <c r="I21" i="3"/>
  <c r="I19" i="3"/>
  <c r="I17" i="3"/>
  <c r="I15" i="3"/>
  <c r="I13" i="3"/>
  <c r="I11" i="3"/>
  <c r="I7" i="3"/>
  <c r="D11" i="2"/>
  <c r="C11" i="2"/>
  <c r="I9" i="3"/>
  <c r="B11" i="2"/>
  <c r="E11" i="2" s="1"/>
  <c r="P100" i="3"/>
  <c r="P93" i="3"/>
  <c r="P89" i="3"/>
  <c r="P85" i="3"/>
  <c r="P81" i="3"/>
  <c r="P77" i="3"/>
  <c r="P73" i="3"/>
  <c r="P69" i="3"/>
  <c r="P62" i="3"/>
  <c r="P58" i="3"/>
  <c r="P54" i="3"/>
  <c r="P50" i="3"/>
  <c r="P46" i="3"/>
  <c r="P44" i="3"/>
  <c r="P42" i="3"/>
  <c r="P90" i="3"/>
  <c r="P86" i="3"/>
  <c r="P82" i="3"/>
  <c r="P78" i="3"/>
  <c r="P74" i="3"/>
  <c r="P70" i="3"/>
  <c r="P59" i="3"/>
  <c r="P55" i="3"/>
  <c r="P51" i="3"/>
  <c r="P49" i="3"/>
  <c r="P91" i="3"/>
  <c r="P87" i="3"/>
  <c r="P83" i="3"/>
  <c r="P79" i="3"/>
  <c r="P75" i="3"/>
  <c r="P71" i="3"/>
  <c r="P60" i="3"/>
  <c r="P56" i="3"/>
  <c r="P52" i="3"/>
  <c r="P48" i="3"/>
  <c r="P47" i="3"/>
  <c r="P45" i="3"/>
  <c r="P43" i="3"/>
  <c r="P41" i="3"/>
  <c r="P39" i="3"/>
  <c r="P37" i="3"/>
  <c r="P30" i="3"/>
  <c r="P28" i="3"/>
  <c r="P26" i="3"/>
  <c r="P24" i="3"/>
  <c r="P22" i="3"/>
  <c r="P20" i="3"/>
  <c r="P18" i="3"/>
  <c r="P16" i="3"/>
  <c r="P14" i="3"/>
  <c r="P12" i="3"/>
  <c r="P10" i="3"/>
  <c r="P8" i="3"/>
  <c r="P99" i="3"/>
  <c r="P92" i="3"/>
  <c r="P88" i="3"/>
  <c r="P84" i="3"/>
  <c r="P80" i="3"/>
  <c r="P76" i="3"/>
  <c r="P72" i="3"/>
  <c r="P68" i="3"/>
  <c r="P61" i="3"/>
  <c r="P57" i="3"/>
  <c r="P53" i="3"/>
  <c r="P40" i="3"/>
  <c r="P29" i="3"/>
  <c r="P21" i="3"/>
  <c r="P13" i="3"/>
  <c r="P6" i="3"/>
  <c r="B18" i="2"/>
  <c r="P31" i="3"/>
  <c r="P23" i="3"/>
  <c r="P15" i="3"/>
  <c r="P7" i="3"/>
  <c r="P25" i="3"/>
  <c r="P17" i="3"/>
  <c r="D18" i="2"/>
  <c r="P38" i="3"/>
  <c r="P27" i="3"/>
  <c r="P19" i="3"/>
  <c r="P11" i="3"/>
  <c r="P9" i="3"/>
  <c r="C18" i="2"/>
  <c r="W99" i="3"/>
  <c r="W92" i="3"/>
  <c r="W90" i="3"/>
  <c r="W88" i="3"/>
  <c r="W86" i="3"/>
  <c r="W84" i="3"/>
  <c r="W82" i="3"/>
  <c r="W80" i="3"/>
  <c r="W78" i="3"/>
  <c r="W76" i="3"/>
  <c r="W74" i="3"/>
  <c r="W72" i="3"/>
  <c r="W70" i="3"/>
  <c r="W68" i="3"/>
  <c r="W61" i="3"/>
  <c r="W59" i="3"/>
  <c r="W57" i="3"/>
  <c r="W55" i="3"/>
  <c r="W53" i="3"/>
  <c r="W51" i="3"/>
  <c r="W100" i="3"/>
  <c r="W93" i="3"/>
  <c r="W91" i="3"/>
  <c r="W89" i="3"/>
  <c r="W87" i="3"/>
  <c r="W85" i="3"/>
  <c r="W83" i="3"/>
  <c r="W81" i="3"/>
  <c r="W79" i="3"/>
  <c r="W77" i="3"/>
  <c r="W75" i="3"/>
  <c r="W73" i="3"/>
  <c r="W71" i="3"/>
  <c r="W69" i="3"/>
  <c r="W62" i="3"/>
  <c r="W60" i="3"/>
  <c r="W58" i="3"/>
  <c r="W56" i="3"/>
  <c r="W54" i="3"/>
  <c r="W52" i="3"/>
  <c r="W50" i="3"/>
  <c r="W48" i="3"/>
  <c r="W46" i="3"/>
  <c r="W49" i="3"/>
  <c r="W47" i="3"/>
  <c r="W44" i="3"/>
  <c r="W42" i="3"/>
  <c r="W40" i="3"/>
  <c r="W38" i="3"/>
  <c r="W31" i="3"/>
  <c r="W29" i="3"/>
  <c r="W27" i="3"/>
  <c r="W25" i="3"/>
  <c r="W23" i="3"/>
  <c r="W21" i="3"/>
  <c r="W19" i="3"/>
  <c r="W17" i="3"/>
  <c r="W15" i="3"/>
  <c r="W13" i="3"/>
  <c r="W11" i="3"/>
  <c r="W9" i="3"/>
  <c r="W7" i="3"/>
  <c r="D25" i="2"/>
  <c r="W45" i="3"/>
  <c r="W43" i="3"/>
  <c r="W41" i="3"/>
  <c r="W39" i="3"/>
  <c r="W37" i="3"/>
  <c r="W63" i="3" s="1"/>
  <c r="W64" i="3" s="1"/>
  <c r="G25" i="2" s="1"/>
  <c r="W30" i="3"/>
  <c r="W28" i="3"/>
  <c r="W26" i="3"/>
  <c r="W24" i="3"/>
  <c r="W22" i="3"/>
  <c r="W20" i="3"/>
  <c r="W18" i="3"/>
  <c r="W16" i="3"/>
  <c r="W14" i="3"/>
  <c r="W12" i="3"/>
  <c r="W10" i="3"/>
  <c r="W6" i="3"/>
  <c r="W32" i="3" s="1"/>
  <c r="W33" i="3" s="1"/>
  <c r="F25" i="2" s="1"/>
  <c r="W8" i="3"/>
  <c r="C25" i="2"/>
  <c r="B25" i="2"/>
  <c r="E25" i="2" s="1"/>
  <c r="K99" i="3"/>
  <c r="K92" i="3"/>
  <c r="K90" i="3"/>
  <c r="K88" i="3"/>
  <c r="K86" i="3"/>
  <c r="K84" i="3"/>
  <c r="K82" i="3"/>
  <c r="K80" i="3"/>
  <c r="K78" i="3"/>
  <c r="K76" i="3"/>
  <c r="K74" i="3"/>
  <c r="K72" i="3"/>
  <c r="K70" i="3"/>
  <c r="K68" i="3"/>
  <c r="K61" i="3"/>
  <c r="K59" i="3"/>
  <c r="K57" i="3"/>
  <c r="K55" i="3"/>
  <c r="K53" i="3"/>
  <c r="K51" i="3"/>
  <c r="K100" i="3"/>
  <c r="K93" i="3"/>
  <c r="K91" i="3"/>
  <c r="K89" i="3"/>
  <c r="K87" i="3"/>
  <c r="K85" i="3"/>
  <c r="K83" i="3"/>
  <c r="K81" i="3"/>
  <c r="K79" i="3"/>
  <c r="K77" i="3"/>
  <c r="K75" i="3"/>
  <c r="K73" i="3"/>
  <c r="K71" i="3"/>
  <c r="K69" i="3"/>
  <c r="K62" i="3"/>
  <c r="K60" i="3"/>
  <c r="K58" i="3"/>
  <c r="K56" i="3"/>
  <c r="K54" i="3"/>
  <c r="K52" i="3"/>
  <c r="K50" i="3"/>
  <c r="K48" i="3"/>
  <c r="K49" i="3"/>
  <c r="K46" i="3"/>
  <c r="K44" i="3"/>
  <c r="K42" i="3"/>
  <c r="K40" i="3"/>
  <c r="K38" i="3"/>
  <c r="K31" i="3"/>
  <c r="K29" i="3"/>
  <c r="K27" i="3"/>
  <c r="K25" i="3"/>
  <c r="K23" i="3"/>
  <c r="K21" i="3"/>
  <c r="K19" i="3"/>
  <c r="K17" i="3"/>
  <c r="K15" i="3"/>
  <c r="K13" i="3"/>
  <c r="K11" i="3"/>
  <c r="K9" i="3"/>
  <c r="K7" i="3"/>
  <c r="D13" i="2"/>
  <c r="E10" i="1" s="1"/>
  <c r="K47" i="3"/>
  <c r="K45" i="3"/>
  <c r="K43" i="3"/>
  <c r="K41" i="3"/>
  <c r="K39" i="3"/>
  <c r="K37" i="3"/>
  <c r="K30" i="3"/>
  <c r="K28" i="3"/>
  <c r="K26" i="3"/>
  <c r="K24" i="3"/>
  <c r="K22" i="3"/>
  <c r="K20" i="3"/>
  <c r="K18" i="3"/>
  <c r="K16" i="3"/>
  <c r="K14" i="3"/>
  <c r="K12" i="3"/>
  <c r="K10" i="3"/>
  <c r="K8" i="3"/>
  <c r="K6" i="3"/>
  <c r="K32" i="3" s="1"/>
  <c r="K33" i="3" s="1"/>
  <c r="F13" i="2" s="1"/>
  <c r="G10" i="1" s="1"/>
  <c r="C37" i="1" s="1"/>
  <c r="B37" i="1" s="1"/>
  <c r="C13" i="2"/>
  <c r="C10" i="1" s="1"/>
  <c r="B13" i="2"/>
  <c r="R90" i="3"/>
  <c r="R86" i="3"/>
  <c r="R82" i="3"/>
  <c r="R78" i="3"/>
  <c r="R74" i="3"/>
  <c r="R70" i="3"/>
  <c r="R59" i="3"/>
  <c r="R55" i="3"/>
  <c r="R51" i="3"/>
  <c r="R49" i="3"/>
  <c r="R48" i="3"/>
  <c r="R45" i="3"/>
  <c r="R43" i="3"/>
  <c r="R41" i="3"/>
  <c r="R91" i="3"/>
  <c r="R87" i="3"/>
  <c r="R83" i="3"/>
  <c r="R79" i="3"/>
  <c r="R75" i="3"/>
  <c r="R71" i="3"/>
  <c r="R60" i="3"/>
  <c r="R56" i="3"/>
  <c r="R52" i="3"/>
  <c r="R47" i="3"/>
  <c r="C20" i="2"/>
  <c r="R99" i="3"/>
  <c r="R92" i="3"/>
  <c r="R88" i="3"/>
  <c r="R84" i="3"/>
  <c r="R80" i="3"/>
  <c r="R76" i="3"/>
  <c r="R72" i="3"/>
  <c r="R68" i="3"/>
  <c r="R61" i="3"/>
  <c r="R57" i="3"/>
  <c r="R53" i="3"/>
  <c r="R46" i="3"/>
  <c r="R44" i="3"/>
  <c r="R42" i="3"/>
  <c r="R40" i="3"/>
  <c r="R38" i="3"/>
  <c r="R31" i="3"/>
  <c r="R29" i="3"/>
  <c r="R27" i="3"/>
  <c r="R25" i="3"/>
  <c r="R23" i="3"/>
  <c r="R21" i="3"/>
  <c r="R19" i="3"/>
  <c r="R17" i="3"/>
  <c r="R15" i="3"/>
  <c r="R13" i="3"/>
  <c r="R11" i="3"/>
  <c r="R9" i="3"/>
  <c r="R7" i="3"/>
  <c r="R100" i="3"/>
  <c r="R93" i="3"/>
  <c r="R89" i="3"/>
  <c r="R85" i="3"/>
  <c r="R81" i="3"/>
  <c r="R77" i="3"/>
  <c r="R73" i="3"/>
  <c r="R69" i="3"/>
  <c r="R62" i="3"/>
  <c r="R58" i="3"/>
  <c r="R54" i="3"/>
  <c r="R50" i="3"/>
  <c r="R37" i="3"/>
  <c r="R26" i="3"/>
  <c r="R18" i="3"/>
  <c r="R10" i="3"/>
  <c r="D20" i="2"/>
  <c r="R39" i="3"/>
  <c r="R28" i="3"/>
  <c r="R20" i="3"/>
  <c r="R12" i="3"/>
  <c r="R8" i="3"/>
  <c r="B20" i="2"/>
  <c r="R30" i="3"/>
  <c r="R22" i="3"/>
  <c r="R14" i="3"/>
  <c r="R24" i="3"/>
  <c r="R16" i="3"/>
  <c r="R6" i="3"/>
  <c r="E100" i="3"/>
  <c r="E93" i="3"/>
  <c r="E91" i="3"/>
  <c r="E89" i="3"/>
  <c r="E87" i="3"/>
  <c r="E85" i="3"/>
  <c r="E83" i="3"/>
  <c r="E81" i="3"/>
  <c r="E79" i="3"/>
  <c r="E77" i="3"/>
  <c r="E75" i="3"/>
  <c r="E73" i="3"/>
  <c r="E71" i="3"/>
  <c r="E69" i="3"/>
  <c r="E62" i="3"/>
  <c r="E60" i="3"/>
  <c r="E58" i="3"/>
  <c r="E56" i="3"/>
  <c r="E54" i="3"/>
  <c r="E52" i="3"/>
  <c r="E50" i="3"/>
  <c r="E99" i="3"/>
  <c r="E92" i="3"/>
  <c r="E90" i="3"/>
  <c r="E88" i="3"/>
  <c r="E86" i="3"/>
  <c r="E84" i="3"/>
  <c r="E82" i="3"/>
  <c r="E80" i="3"/>
  <c r="E78" i="3"/>
  <c r="E76" i="3"/>
  <c r="E74" i="3"/>
  <c r="E72" i="3"/>
  <c r="E70" i="3"/>
  <c r="E68" i="3"/>
  <c r="E94" i="3" s="1"/>
  <c r="E95" i="3" s="1"/>
  <c r="H7" i="2" s="1"/>
  <c r="E61" i="3"/>
  <c r="E59" i="3"/>
  <c r="E57" i="3"/>
  <c r="E55" i="3"/>
  <c r="E53" i="3"/>
  <c r="E51" i="3"/>
  <c r="E49" i="3"/>
  <c r="E47" i="3"/>
  <c r="E45" i="3"/>
  <c r="E43" i="3"/>
  <c r="E41" i="3"/>
  <c r="E39" i="3"/>
  <c r="E37" i="3"/>
  <c r="E30" i="3"/>
  <c r="E28" i="3"/>
  <c r="E26" i="3"/>
  <c r="E24" i="3"/>
  <c r="E22" i="3"/>
  <c r="E20" i="3"/>
  <c r="E18" i="3"/>
  <c r="E16" i="3"/>
  <c r="E14" i="3"/>
  <c r="E12" i="3"/>
  <c r="E10" i="3"/>
  <c r="E8" i="3"/>
  <c r="E6" i="3"/>
  <c r="E48" i="3"/>
  <c r="E46" i="3"/>
  <c r="E44" i="3"/>
  <c r="E42" i="3"/>
  <c r="E40" i="3"/>
  <c r="E38" i="3"/>
  <c r="E31" i="3"/>
  <c r="E29" i="3"/>
  <c r="E27" i="3"/>
  <c r="E25" i="3"/>
  <c r="E23" i="3"/>
  <c r="E21" i="3"/>
  <c r="E19" i="3"/>
  <c r="E17" i="3"/>
  <c r="E15" i="3"/>
  <c r="E13" i="3"/>
  <c r="E11" i="3"/>
  <c r="E9" i="3"/>
  <c r="D7" i="2"/>
  <c r="C7" i="2"/>
  <c r="E7" i="3"/>
  <c r="B7" i="2"/>
  <c r="E7" i="2" s="1"/>
  <c r="L91" i="3"/>
  <c r="L87" i="3"/>
  <c r="L83" i="3"/>
  <c r="L79" i="3"/>
  <c r="L75" i="3"/>
  <c r="L71" i="3"/>
  <c r="L60" i="3"/>
  <c r="L56" i="3"/>
  <c r="L52" i="3"/>
  <c r="L49" i="3"/>
  <c r="L46" i="3"/>
  <c r="L44" i="3"/>
  <c r="L42" i="3"/>
  <c r="L99" i="3"/>
  <c r="L92" i="3"/>
  <c r="L88" i="3"/>
  <c r="L84" i="3"/>
  <c r="L80" i="3"/>
  <c r="L76" i="3"/>
  <c r="L72" i="3"/>
  <c r="L68" i="3"/>
  <c r="L61" i="3"/>
  <c r="L57" i="3"/>
  <c r="L53" i="3"/>
  <c r="L48" i="3"/>
  <c r="L47" i="3"/>
  <c r="L100" i="3"/>
  <c r="L93" i="3"/>
  <c r="L89" i="3"/>
  <c r="L85" i="3"/>
  <c r="L81" i="3"/>
  <c r="L77" i="3"/>
  <c r="L73" i="3"/>
  <c r="L69" i="3"/>
  <c r="L62" i="3"/>
  <c r="L58" i="3"/>
  <c r="L54" i="3"/>
  <c r="L50" i="3"/>
  <c r="L45" i="3"/>
  <c r="L43" i="3"/>
  <c r="L41" i="3"/>
  <c r="L39" i="3"/>
  <c r="L37" i="3"/>
  <c r="L30" i="3"/>
  <c r="L28" i="3"/>
  <c r="L26" i="3"/>
  <c r="L24" i="3"/>
  <c r="L22" i="3"/>
  <c r="L20" i="3"/>
  <c r="L18" i="3"/>
  <c r="L16" i="3"/>
  <c r="L14" i="3"/>
  <c r="L12" i="3"/>
  <c r="L10" i="3"/>
  <c r="L8" i="3"/>
  <c r="L90" i="3"/>
  <c r="L86" i="3"/>
  <c r="L82" i="3"/>
  <c r="L78" i="3"/>
  <c r="L74" i="3"/>
  <c r="L70" i="3"/>
  <c r="L59" i="3"/>
  <c r="L55" i="3"/>
  <c r="L51" i="3"/>
  <c r="L38" i="3"/>
  <c r="L27" i="3"/>
  <c r="L19" i="3"/>
  <c r="L11" i="3"/>
  <c r="C14" i="2"/>
  <c r="L40" i="3"/>
  <c r="L29" i="3"/>
  <c r="L21" i="3"/>
  <c r="L13" i="3"/>
  <c r="L9" i="3"/>
  <c r="B14" i="2"/>
  <c r="L31" i="3"/>
  <c r="L23" i="3"/>
  <c r="L15" i="3"/>
  <c r="L25" i="3"/>
  <c r="L17" i="3"/>
  <c r="L7" i="3"/>
  <c r="L6" i="3"/>
  <c r="D14" i="2"/>
  <c r="O99" i="3"/>
  <c r="O92" i="3"/>
  <c r="O90" i="3"/>
  <c r="O88" i="3"/>
  <c r="O86" i="3"/>
  <c r="O84" i="3"/>
  <c r="O82" i="3"/>
  <c r="O80" i="3"/>
  <c r="O78" i="3"/>
  <c r="O76" i="3"/>
  <c r="O74" i="3"/>
  <c r="O72" i="3"/>
  <c r="O70" i="3"/>
  <c r="O68" i="3"/>
  <c r="O61" i="3"/>
  <c r="O59" i="3"/>
  <c r="O57" i="3"/>
  <c r="O55" i="3"/>
  <c r="O53" i="3"/>
  <c r="O51" i="3"/>
  <c r="O100" i="3"/>
  <c r="O93" i="3"/>
  <c r="O91" i="3"/>
  <c r="O89" i="3"/>
  <c r="O87" i="3"/>
  <c r="O85" i="3"/>
  <c r="O83" i="3"/>
  <c r="O81" i="3"/>
  <c r="O79" i="3"/>
  <c r="O77" i="3"/>
  <c r="O75" i="3"/>
  <c r="O73" i="3"/>
  <c r="O71" i="3"/>
  <c r="O69" i="3"/>
  <c r="O62" i="3"/>
  <c r="O60" i="3"/>
  <c r="O58" i="3"/>
  <c r="O56" i="3"/>
  <c r="O54" i="3"/>
  <c r="O52" i="3"/>
  <c r="O50" i="3"/>
  <c r="O48" i="3"/>
  <c r="O46" i="3"/>
  <c r="O44" i="3"/>
  <c r="O42" i="3"/>
  <c r="O40" i="3"/>
  <c r="O38" i="3"/>
  <c r="O31" i="3"/>
  <c r="O29" i="3"/>
  <c r="O27" i="3"/>
  <c r="O25" i="3"/>
  <c r="O23" i="3"/>
  <c r="O21" i="3"/>
  <c r="O19" i="3"/>
  <c r="O17" i="3"/>
  <c r="O15" i="3"/>
  <c r="O13" i="3"/>
  <c r="O11" i="3"/>
  <c r="O9" i="3"/>
  <c r="O7" i="3"/>
  <c r="D17" i="2"/>
  <c r="O49" i="3"/>
  <c r="O47" i="3"/>
  <c r="O45" i="3"/>
  <c r="O43" i="3"/>
  <c r="O41" i="3"/>
  <c r="O39" i="3"/>
  <c r="O37" i="3"/>
  <c r="O30" i="3"/>
  <c r="O28" i="3"/>
  <c r="O26" i="3"/>
  <c r="O24" i="3"/>
  <c r="O22" i="3"/>
  <c r="O20" i="3"/>
  <c r="O18" i="3"/>
  <c r="O16" i="3"/>
  <c r="O14" i="3"/>
  <c r="O12" i="3"/>
  <c r="O10" i="3"/>
  <c r="C17" i="2"/>
  <c r="O6" i="3"/>
  <c r="O32" i="3" s="1"/>
  <c r="O33" i="3" s="1"/>
  <c r="F17" i="2" s="1"/>
  <c r="B17" i="2"/>
  <c r="O8" i="3"/>
  <c r="C99" i="3"/>
  <c r="C92" i="3"/>
  <c r="C90" i="3"/>
  <c r="C88" i="3"/>
  <c r="C86" i="3"/>
  <c r="C84" i="3"/>
  <c r="C82" i="3"/>
  <c r="C80" i="3"/>
  <c r="C78" i="3"/>
  <c r="C76" i="3"/>
  <c r="C74" i="3"/>
  <c r="C72" i="3"/>
  <c r="C70" i="3"/>
  <c r="C68" i="3"/>
  <c r="C61" i="3"/>
  <c r="C59" i="3"/>
  <c r="C57" i="3"/>
  <c r="C55" i="3"/>
  <c r="C53" i="3"/>
  <c r="C51" i="3"/>
  <c r="C100" i="3"/>
  <c r="C93" i="3"/>
  <c r="C91" i="3"/>
  <c r="C89" i="3"/>
  <c r="C87" i="3"/>
  <c r="C85" i="3"/>
  <c r="C83" i="3"/>
  <c r="C81" i="3"/>
  <c r="C79" i="3"/>
  <c r="C77" i="3"/>
  <c r="C75" i="3"/>
  <c r="C73" i="3"/>
  <c r="C71" i="3"/>
  <c r="C69" i="3"/>
  <c r="C62" i="3"/>
  <c r="C60" i="3"/>
  <c r="C58" i="3"/>
  <c r="C56" i="3"/>
  <c r="C54" i="3"/>
  <c r="C52" i="3"/>
  <c r="C50" i="3"/>
  <c r="C48" i="3"/>
  <c r="C47" i="3"/>
  <c r="C46" i="3"/>
  <c r="C44" i="3"/>
  <c r="C42" i="3"/>
  <c r="C40" i="3"/>
  <c r="C38" i="3"/>
  <c r="C31" i="3"/>
  <c r="C29" i="3"/>
  <c r="C27" i="3"/>
  <c r="C25" i="3"/>
  <c r="C23" i="3"/>
  <c r="C21" i="3"/>
  <c r="C19" i="3"/>
  <c r="C17" i="3"/>
  <c r="C15" i="3"/>
  <c r="C13" i="3"/>
  <c r="C11" i="3"/>
  <c r="C9" i="3"/>
  <c r="C7" i="3"/>
  <c r="C49" i="3"/>
  <c r="C45" i="3"/>
  <c r="C43" i="3"/>
  <c r="C41" i="3"/>
  <c r="C39" i="3"/>
  <c r="C37" i="3"/>
  <c r="C30" i="3"/>
  <c r="C28" i="3"/>
  <c r="C26" i="3"/>
  <c r="C24" i="3"/>
  <c r="C22" i="3"/>
  <c r="C20" i="3"/>
  <c r="C18" i="3"/>
  <c r="C16" i="3"/>
  <c r="C14" i="3"/>
  <c r="C12" i="3"/>
  <c r="C10" i="3"/>
  <c r="C8" i="3"/>
  <c r="B5" i="2"/>
  <c r="C6" i="3"/>
  <c r="D5" i="2"/>
  <c r="C5" i="2"/>
  <c r="V99" i="3"/>
  <c r="V92" i="3"/>
  <c r="V88" i="3"/>
  <c r="V84" i="3"/>
  <c r="V80" i="3"/>
  <c r="V76" i="3"/>
  <c r="V72" i="3"/>
  <c r="V68" i="3"/>
  <c r="V61" i="3"/>
  <c r="V57" i="3"/>
  <c r="V53" i="3"/>
  <c r="V45" i="3"/>
  <c r="V43" i="3"/>
  <c r="V41" i="3"/>
  <c r="V100" i="3"/>
  <c r="V93" i="3"/>
  <c r="V89" i="3"/>
  <c r="V85" i="3"/>
  <c r="V81" i="3"/>
  <c r="V77" i="3"/>
  <c r="V73" i="3"/>
  <c r="V69" i="3"/>
  <c r="V62" i="3"/>
  <c r="V58" i="3"/>
  <c r="V54" i="3"/>
  <c r="V50" i="3"/>
  <c r="V49" i="3"/>
  <c r="V48" i="3"/>
  <c r="C24" i="2"/>
  <c r="V90" i="3"/>
  <c r="V86" i="3"/>
  <c r="V82" i="3"/>
  <c r="V78" i="3"/>
  <c r="V74" i="3"/>
  <c r="V70" i="3"/>
  <c r="V59" i="3"/>
  <c r="V55" i="3"/>
  <c r="V51" i="3"/>
  <c r="V47" i="3"/>
  <c r="V46" i="3"/>
  <c r="V44" i="3"/>
  <c r="V42" i="3"/>
  <c r="V40" i="3"/>
  <c r="V38" i="3"/>
  <c r="V31" i="3"/>
  <c r="V29" i="3"/>
  <c r="V27" i="3"/>
  <c r="V25" i="3"/>
  <c r="V23" i="3"/>
  <c r="V21" i="3"/>
  <c r="V19" i="3"/>
  <c r="V17" i="3"/>
  <c r="V15" i="3"/>
  <c r="V13" i="3"/>
  <c r="V11" i="3"/>
  <c r="V9" i="3"/>
  <c r="V7" i="3"/>
  <c r="V91" i="3"/>
  <c r="V87" i="3"/>
  <c r="V83" i="3"/>
  <c r="V79" i="3"/>
  <c r="V75" i="3"/>
  <c r="V71" i="3"/>
  <c r="V60" i="3"/>
  <c r="V56" i="3"/>
  <c r="V52" i="3"/>
  <c r="V39" i="3"/>
  <c r="V28" i="3"/>
  <c r="V20" i="3"/>
  <c r="V12" i="3"/>
  <c r="B24" i="2"/>
  <c r="V30" i="3"/>
  <c r="V22" i="3"/>
  <c r="V14" i="3"/>
  <c r="V6" i="3"/>
  <c r="V24" i="3"/>
  <c r="V16" i="3"/>
  <c r="V37" i="3"/>
  <c r="V26" i="3"/>
  <c r="V18" i="3"/>
  <c r="V10" i="3"/>
  <c r="V8" i="3"/>
  <c r="D24" i="2"/>
  <c r="J90" i="3"/>
  <c r="J86" i="3"/>
  <c r="J82" i="3"/>
  <c r="J78" i="3"/>
  <c r="J74" i="3"/>
  <c r="J70" i="3"/>
  <c r="J59" i="3"/>
  <c r="J55" i="3"/>
  <c r="J51" i="3"/>
  <c r="J45" i="3"/>
  <c r="J43" i="3"/>
  <c r="J41" i="3"/>
  <c r="J91" i="3"/>
  <c r="J87" i="3"/>
  <c r="J83" i="3"/>
  <c r="J79" i="3"/>
  <c r="J75" i="3"/>
  <c r="J71" i="3"/>
  <c r="J60" i="3"/>
  <c r="J56" i="3"/>
  <c r="J52" i="3"/>
  <c r="C12" i="2"/>
  <c r="J99" i="3"/>
  <c r="J92" i="3"/>
  <c r="J88" i="3"/>
  <c r="J84" i="3"/>
  <c r="J80" i="3"/>
  <c r="J76" i="3"/>
  <c r="J72" i="3"/>
  <c r="J68" i="3"/>
  <c r="J61" i="3"/>
  <c r="J57" i="3"/>
  <c r="J53" i="3"/>
  <c r="J49" i="3"/>
  <c r="J48" i="3"/>
  <c r="J46" i="3"/>
  <c r="J44" i="3"/>
  <c r="J42" i="3"/>
  <c r="J40" i="3"/>
  <c r="J38" i="3"/>
  <c r="J31" i="3"/>
  <c r="J29" i="3"/>
  <c r="J27" i="3"/>
  <c r="J25" i="3"/>
  <c r="J23" i="3"/>
  <c r="J21" i="3"/>
  <c r="J19" i="3"/>
  <c r="J17" i="3"/>
  <c r="J15" i="3"/>
  <c r="J13" i="3"/>
  <c r="J11" i="3"/>
  <c r="J9" i="3"/>
  <c r="J7" i="3"/>
  <c r="J100" i="3"/>
  <c r="J93" i="3"/>
  <c r="J89" i="3"/>
  <c r="J85" i="3"/>
  <c r="J81" i="3"/>
  <c r="J77" i="3"/>
  <c r="J73" i="3"/>
  <c r="J69" i="3"/>
  <c r="J62" i="3"/>
  <c r="J58" i="3"/>
  <c r="J54" i="3"/>
  <c r="J50" i="3"/>
  <c r="J47" i="3"/>
  <c r="J30" i="3"/>
  <c r="J22" i="3"/>
  <c r="J14" i="3"/>
  <c r="J24" i="3"/>
  <c r="J16" i="3"/>
  <c r="J8" i="3"/>
  <c r="J6" i="3"/>
  <c r="J37" i="3"/>
  <c r="J26" i="3"/>
  <c r="J18" i="3"/>
  <c r="J10" i="3"/>
  <c r="D12" i="2"/>
  <c r="J39" i="3"/>
  <c r="J28" i="3"/>
  <c r="J20" i="3"/>
  <c r="J12" i="3"/>
  <c r="B12" i="2"/>
  <c r="E12" i="2" s="1"/>
  <c r="Q100" i="3"/>
  <c r="Q93" i="3"/>
  <c r="Q91" i="3"/>
  <c r="Q89" i="3"/>
  <c r="Q87" i="3"/>
  <c r="Q85" i="3"/>
  <c r="Q83" i="3"/>
  <c r="Q81" i="3"/>
  <c r="Q79" i="3"/>
  <c r="Q77" i="3"/>
  <c r="Q75" i="3"/>
  <c r="Q73" i="3"/>
  <c r="Q71" i="3"/>
  <c r="Q69" i="3"/>
  <c r="Q62" i="3"/>
  <c r="Q60" i="3"/>
  <c r="Q58" i="3"/>
  <c r="Q56" i="3"/>
  <c r="Q54" i="3"/>
  <c r="Q52" i="3"/>
  <c r="Q50" i="3"/>
  <c r="Q99" i="3"/>
  <c r="Q92" i="3"/>
  <c r="Q90" i="3"/>
  <c r="Q88" i="3"/>
  <c r="Q86" i="3"/>
  <c r="Q84" i="3"/>
  <c r="Q82" i="3"/>
  <c r="Q80" i="3"/>
  <c r="Q78" i="3"/>
  <c r="Q76" i="3"/>
  <c r="Q74" i="3"/>
  <c r="Q72" i="3"/>
  <c r="Q70" i="3"/>
  <c r="Q68" i="3"/>
  <c r="Q61" i="3"/>
  <c r="Q59" i="3"/>
  <c r="Q57" i="3"/>
  <c r="Q55" i="3"/>
  <c r="Q53" i="3"/>
  <c r="Q51" i="3"/>
  <c r="Q49" i="3"/>
  <c r="Q47" i="3"/>
  <c r="Q48" i="3"/>
  <c r="Q45" i="3"/>
  <c r="Q43" i="3"/>
  <c r="Q41" i="3"/>
  <c r="Q39" i="3"/>
  <c r="Q37" i="3"/>
  <c r="Q30" i="3"/>
  <c r="Q28" i="3"/>
  <c r="Q26" i="3"/>
  <c r="Q24" i="3"/>
  <c r="Q22" i="3"/>
  <c r="Q20" i="3"/>
  <c r="Q18" i="3"/>
  <c r="Q16" i="3"/>
  <c r="Q14" i="3"/>
  <c r="Q12" i="3"/>
  <c r="Q10" i="3"/>
  <c r="Q8" i="3"/>
  <c r="Q6" i="3"/>
  <c r="B19" i="2"/>
  <c r="Q46" i="3"/>
  <c r="Q44" i="3"/>
  <c r="Q42" i="3"/>
  <c r="Q40" i="3"/>
  <c r="Q38" i="3"/>
  <c r="Q31" i="3"/>
  <c r="Q29" i="3"/>
  <c r="Q27" i="3"/>
  <c r="Q25" i="3"/>
  <c r="Q23" i="3"/>
  <c r="Q21" i="3"/>
  <c r="Q19" i="3"/>
  <c r="Q17" i="3"/>
  <c r="Q15" i="3"/>
  <c r="Q13" i="3"/>
  <c r="Q11" i="3"/>
  <c r="Q7" i="3"/>
  <c r="D19" i="2"/>
  <c r="Q9" i="3"/>
  <c r="C19" i="2"/>
  <c r="H100" i="3"/>
  <c r="H93" i="3"/>
  <c r="H89" i="3"/>
  <c r="H85" i="3"/>
  <c r="H81" i="3"/>
  <c r="H77" i="3"/>
  <c r="H73" i="3"/>
  <c r="H69" i="3"/>
  <c r="H62" i="3"/>
  <c r="H58" i="3"/>
  <c r="H54" i="3"/>
  <c r="H50" i="3"/>
  <c r="H48" i="3"/>
  <c r="H47" i="3"/>
  <c r="H46" i="3"/>
  <c r="H44" i="3"/>
  <c r="H42" i="3"/>
  <c r="H90" i="3"/>
  <c r="H86" i="3"/>
  <c r="H82" i="3"/>
  <c r="H78" i="3"/>
  <c r="H74" i="3"/>
  <c r="H70" i="3"/>
  <c r="H59" i="3"/>
  <c r="H55" i="3"/>
  <c r="H51" i="3"/>
  <c r="H91" i="3"/>
  <c r="H87" i="3"/>
  <c r="H83" i="3"/>
  <c r="H79" i="3"/>
  <c r="H75" i="3"/>
  <c r="H71" i="3"/>
  <c r="H60" i="3"/>
  <c r="H56" i="3"/>
  <c r="H52" i="3"/>
  <c r="H45" i="3"/>
  <c r="H43" i="3"/>
  <c r="H41" i="3"/>
  <c r="H39" i="3"/>
  <c r="H37" i="3"/>
  <c r="H30" i="3"/>
  <c r="H28" i="3"/>
  <c r="H26" i="3"/>
  <c r="H24" i="3"/>
  <c r="H22" i="3"/>
  <c r="H20" i="3"/>
  <c r="H18" i="3"/>
  <c r="H16" i="3"/>
  <c r="H14" i="3"/>
  <c r="H12" i="3"/>
  <c r="H10" i="3"/>
  <c r="H8" i="3"/>
  <c r="H99" i="3"/>
  <c r="H92" i="3"/>
  <c r="H88" i="3"/>
  <c r="H84" i="3"/>
  <c r="H80" i="3"/>
  <c r="H76" i="3"/>
  <c r="H72" i="3"/>
  <c r="H68" i="3"/>
  <c r="H61" i="3"/>
  <c r="H57" i="3"/>
  <c r="H53" i="3"/>
  <c r="H49" i="3"/>
  <c r="H25" i="3"/>
  <c r="H17" i="3"/>
  <c r="C10" i="2"/>
  <c r="H38" i="3"/>
  <c r="H27" i="3"/>
  <c r="H19" i="3"/>
  <c r="H11" i="3"/>
  <c r="H7" i="3"/>
  <c r="B10" i="2"/>
  <c r="E10" i="2" s="1"/>
  <c r="H40" i="3"/>
  <c r="H29" i="3"/>
  <c r="H21" i="3"/>
  <c r="H13" i="3"/>
  <c r="H6" i="3"/>
  <c r="H31" i="3"/>
  <c r="H23" i="3"/>
  <c r="H15" i="3"/>
  <c r="H9" i="3"/>
  <c r="D10" i="2"/>
  <c r="G99" i="3"/>
  <c r="G92" i="3"/>
  <c r="G90" i="3"/>
  <c r="G88" i="3"/>
  <c r="G86" i="3"/>
  <c r="G84" i="3"/>
  <c r="G82" i="3"/>
  <c r="G80" i="3"/>
  <c r="G78" i="3"/>
  <c r="G76" i="3"/>
  <c r="G74" i="3"/>
  <c r="G72" i="3"/>
  <c r="G70" i="3"/>
  <c r="G68" i="3"/>
  <c r="G61" i="3"/>
  <c r="G59" i="3"/>
  <c r="G57" i="3"/>
  <c r="G55" i="3"/>
  <c r="G53" i="3"/>
  <c r="G51" i="3"/>
  <c r="G100" i="3"/>
  <c r="G93" i="3"/>
  <c r="G91" i="3"/>
  <c r="G89" i="3"/>
  <c r="G87" i="3"/>
  <c r="G85" i="3"/>
  <c r="G83" i="3"/>
  <c r="G81" i="3"/>
  <c r="G79" i="3"/>
  <c r="G77" i="3"/>
  <c r="G75" i="3"/>
  <c r="G73" i="3"/>
  <c r="G71" i="3"/>
  <c r="G69" i="3"/>
  <c r="G62" i="3"/>
  <c r="G60" i="3"/>
  <c r="G58" i="3"/>
  <c r="G56" i="3"/>
  <c r="G54" i="3"/>
  <c r="G52" i="3"/>
  <c r="G50" i="3"/>
  <c r="G48" i="3"/>
  <c r="G49" i="3"/>
  <c r="G47" i="3"/>
  <c r="G46" i="3"/>
  <c r="G44" i="3"/>
  <c r="G42" i="3"/>
  <c r="G40" i="3"/>
  <c r="G38" i="3"/>
  <c r="G31" i="3"/>
  <c r="G29" i="3"/>
  <c r="G27" i="3"/>
  <c r="G25" i="3"/>
  <c r="G23" i="3"/>
  <c r="G21" i="3"/>
  <c r="G19" i="3"/>
  <c r="G17" i="3"/>
  <c r="G15" i="3"/>
  <c r="G13" i="3"/>
  <c r="G11" i="3"/>
  <c r="G9" i="3"/>
  <c r="G7" i="3"/>
  <c r="G45" i="3"/>
  <c r="G43" i="3"/>
  <c r="G41" i="3"/>
  <c r="G39" i="3"/>
  <c r="G37" i="3"/>
  <c r="G30" i="3"/>
  <c r="G28" i="3"/>
  <c r="G26" i="3"/>
  <c r="G24" i="3"/>
  <c r="G22" i="3"/>
  <c r="G20" i="3"/>
  <c r="G18" i="3"/>
  <c r="G16" i="3"/>
  <c r="G14" i="3"/>
  <c r="G12" i="3"/>
  <c r="G10" i="3"/>
  <c r="B9" i="2"/>
  <c r="G8" i="3"/>
  <c r="D9" i="2"/>
  <c r="G6" i="3"/>
  <c r="G32" i="3" s="1"/>
  <c r="G33" i="3" s="1"/>
  <c r="F9" i="2" s="1"/>
  <c r="C9" i="2"/>
  <c r="N99" i="3"/>
  <c r="N92" i="3"/>
  <c r="N88" i="3"/>
  <c r="N84" i="3"/>
  <c r="N80" i="3"/>
  <c r="N76" i="3"/>
  <c r="N72" i="3"/>
  <c r="N68" i="3"/>
  <c r="N61" i="3"/>
  <c r="N57" i="3"/>
  <c r="N53" i="3"/>
  <c r="N47" i="3"/>
  <c r="N45" i="3"/>
  <c r="N43" i="3"/>
  <c r="N41" i="3"/>
  <c r="N100" i="3"/>
  <c r="N93" i="3"/>
  <c r="N89" i="3"/>
  <c r="N85" i="3"/>
  <c r="N81" i="3"/>
  <c r="N77" i="3"/>
  <c r="N73" i="3"/>
  <c r="N69" i="3"/>
  <c r="N62" i="3"/>
  <c r="N58" i="3"/>
  <c r="N54" i="3"/>
  <c r="N50" i="3"/>
  <c r="C16" i="2"/>
  <c r="N90" i="3"/>
  <c r="N86" i="3"/>
  <c r="N82" i="3"/>
  <c r="N78" i="3"/>
  <c r="N74" i="3"/>
  <c r="N70" i="3"/>
  <c r="N59" i="3"/>
  <c r="N55" i="3"/>
  <c r="N51" i="3"/>
  <c r="N46" i="3"/>
  <c r="N44" i="3"/>
  <c r="N42" i="3"/>
  <c r="N40" i="3"/>
  <c r="N38" i="3"/>
  <c r="N31" i="3"/>
  <c r="N29" i="3"/>
  <c r="N27" i="3"/>
  <c r="N25" i="3"/>
  <c r="N23" i="3"/>
  <c r="N21" i="3"/>
  <c r="N19" i="3"/>
  <c r="N17" i="3"/>
  <c r="N15" i="3"/>
  <c r="N13" i="3"/>
  <c r="N11" i="3"/>
  <c r="N9" i="3"/>
  <c r="N7" i="3"/>
  <c r="N91" i="3"/>
  <c r="N87" i="3"/>
  <c r="N83" i="3"/>
  <c r="N79" i="3"/>
  <c r="N75" i="3"/>
  <c r="N71" i="3"/>
  <c r="N60" i="3"/>
  <c r="N56" i="3"/>
  <c r="N52" i="3"/>
  <c r="N49" i="3"/>
  <c r="N48" i="3"/>
  <c r="N24" i="3"/>
  <c r="N16" i="3"/>
  <c r="N37" i="3"/>
  <c r="N26" i="3"/>
  <c r="N18" i="3"/>
  <c r="N10" i="3"/>
  <c r="D16" i="2"/>
  <c r="N39" i="3"/>
  <c r="N28" i="3"/>
  <c r="N20" i="3"/>
  <c r="N12" i="3"/>
  <c r="N6" i="3"/>
  <c r="B16" i="2"/>
  <c r="E16" i="2" s="1"/>
  <c r="N30" i="3"/>
  <c r="N22" i="3"/>
  <c r="N14" i="3"/>
  <c r="N8" i="3"/>
  <c r="B90" i="3"/>
  <c r="B86" i="3"/>
  <c r="B82" i="3"/>
  <c r="B78" i="3"/>
  <c r="B74" i="3"/>
  <c r="B70" i="3"/>
  <c r="B59" i="3"/>
  <c r="B55" i="3"/>
  <c r="B51" i="3"/>
  <c r="B49" i="3"/>
  <c r="B48" i="3"/>
  <c r="B45" i="3"/>
  <c r="B43" i="3"/>
  <c r="B91" i="3"/>
  <c r="B87" i="3"/>
  <c r="B83" i="3"/>
  <c r="B79" i="3"/>
  <c r="B75" i="3"/>
  <c r="B71" i="3"/>
  <c r="B60" i="3"/>
  <c r="B56" i="3"/>
  <c r="B52" i="3"/>
  <c r="B47" i="3"/>
  <c r="B99" i="3"/>
  <c r="B92" i="3"/>
  <c r="B88" i="3"/>
  <c r="B84" i="3"/>
  <c r="B80" i="3"/>
  <c r="B76" i="3"/>
  <c r="B72" i="3"/>
  <c r="B68" i="3"/>
  <c r="B61" i="3"/>
  <c r="B57" i="3"/>
  <c r="B53" i="3"/>
  <c r="B46" i="3"/>
  <c r="B44" i="3"/>
  <c r="B42" i="3"/>
  <c r="B40" i="3"/>
  <c r="B38" i="3"/>
  <c r="B31" i="3"/>
  <c r="B29" i="3"/>
  <c r="B27" i="3"/>
  <c r="B25" i="3"/>
  <c r="B23" i="3"/>
  <c r="B21" i="3"/>
  <c r="B19" i="3"/>
  <c r="B17" i="3"/>
  <c r="B15" i="3"/>
  <c r="B13" i="3"/>
  <c r="B11" i="3"/>
  <c r="B9" i="3"/>
  <c r="B7" i="3"/>
  <c r="B100" i="3"/>
  <c r="B93" i="3"/>
  <c r="B89" i="3"/>
  <c r="B85" i="3"/>
  <c r="B81" i="3"/>
  <c r="B77" i="3"/>
  <c r="B73" i="3"/>
  <c r="B69" i="3"/>
  <c r="B62" i="3"/>
  <c r="B58" i="3"/>
  <c r="B54" i="3"/>
  <c r="B50" i="3"/>
  <c r="B37" i="3"/>
  <c r="B26" i="3"/>
  <c r="B18" i="3"/>
  <c r="B10" i="3"/>
  <c r="B39" i="3"/>
  <c r="B28" i="3"/>
  <c r="B20" i="3"/>
  <c r="B12" i="3"/>
  <c r="B8" i="3"/>
  <c r="D4" i="2"/>
  <c r="D26" i="2" s="1"/>
  <c r="B41" i="3"/>
  <c r="B30" i="3"/>
  <c r="B22" i="3"/>
  <c r="B14" i="3"/>
  <c r="C4" i="2"/>
  <c r="C26" i="2" s="1"/>
  <c r="B24" i="3"/>
  <c r="B16" i="3"/>
  <c r="B6" i="3"/>
  <c r="B4" i="2"/>
  <c r="F7" i="7" l="1"/>
  <c r="E7" i="7"/>
  <c r="G94" i="3"/>
  <c r="G95" i="3" s="1"/>
  <c r="H9" i="2" s="1"/>
  <c r="V32" i="3"/>
  <c r="V33" i="3" s="1"/>
  <c r="F24" i="2" s="1"/>
  <c r="E24" i="2"/>
  <c r="C94" i="3"/>
  <c r="C95" i="3" s="1"/>
  <c r="H5" i="2" s="1"/>
  <c r="F32" i="3"/>
  <c r="F33" i="3" s="1"/>
  <c r="F8" i="2" s="1"/>
  <c r="T32" i="3"/>
  <c r="T33" i="3" s="1"/>
  <c r="F22" i="2" s="1"/>
  <c r="U32" i="3"/>
  <c r="U33" i="3" s="1"/>
  <c r="F23" i="2" s="1"/>
  <c r="E4" i="2"/>
  <c r="B26" i="2"/>
  <c r="H94" i="3"/>
  <c r="H95" i="3" s="1"/>
  <c r="H10" i="2" s="1"/>
  <c r="H63" i="3"/>
  <c r="H64" i="3" s="1"/>
  <c r="G10" i="2" s="1"/>
  <c r="E19" i="2"/>
  <c r="Q94" i="3"/>
  <c r="Q95" i="3" s="1"/>
  <c r="H19" i="2" s="1"/>
  <c r="V63" i="3"/>
  <c r="V64" i="3" s="1"/>
  <c r="G24" i="2" s="1"/>
  <c r="C32" i="3"/>
  <c r="C33" i="3" s="1"/>
  <c r="F5" i="2" s="1"/>
  <c r="O63" i="3"/>
  <c r="O64" i="3" s="1"/>
  <c r="G17" i="2" s="1"/>
  <c r="E14" i="2"/>
  <c r="L63" i="3"/>
  <c r="L64" i="3" s="1"/>
  <c r="G14" i="2" s="1"/>
  <c r="E20" i="2"/>
  <c r="R94" i="3"/>
  <c r="R95" i="3" s="1"/>
  <c r="H20" i="2" s="1"/>
  <c r="K63" i="3"/>
  <c r="K64" i="3" s="1"/>
  <c r="G13" i="2" s="1"/>
  <c r="I10" i="1" s="1"/>
  <c r="C38" i="1" s="1"/>
  <c r="B38" i="1" s="1"/>
  <c r="E18" i="2"/>
  <c r="I32" i="3"/>
  <c r="I33" i="3" s="1"/>
  <c r="F11" i="2" s="1"/>
  <c r="F94" i="3"/>
  <c r="F95" i="3" s="1"/>
  <c r="H8" i="2" s="1"/>
  <c r="T63" i="3"/>
  <c r="T64" i="3" s="1"/>
  <c r="G22" i="2" s="1"/>
  <c r="U63" i="3"/>
  <c r="U64" i="3" s="1"/>
  <c r="G23" i="2" s="1"/>
  <c r="E15" i="2"/>
  <c r="M94" i="3"/>
  <c r="M95" i="3" s="1"/>
  <c r="H15" i="2" s="1"/>
  <c r="B94" i="3"/>
  <c r="B95" i="3" s="1"/>
  <c r="H4" i="2" s="1"/>
  <c r="N32" i="3"/>
  <c r="N33" i="3" s="1"/>
  <c r="F16" i="2" s="1"/>
  <c r="B32" i="3"/>
  <c r="B33" i="3" s="1"/>
  <c r="F4" i="2" s="1"/>
  <c r="N63" i="3"/>
  <c r="N64" i="3" s="1"/>
  <c r="G16" i="2" s="1"/>
  <c r="Q32" i="3"/>
  <c r="Q33" i="3" s="1"/>
  <c r="F19" i="2" s="1"/>
  <c r="J63" i="3"/>
  <c r="J64" i="3" s="1"/>
  <c r="G12" i="2" s="1"/>
  <c r="J94" i="3"/>
  <c r="J95" i="3" s="1"/>
  <c r="H12" i="2" s="1"/>
  <c r="E5" i="2"/>
  <c r="L32" i="3"/>
  <c r="L33" i="3" s="1"/>
  <c r="F14" i="2" s="1"/>
  <c r="E32" i="3"/>
  <c r="E33" i="3" s="1"/>
  <c r="F7" i="2" s="1"/>
  <c r="E13" i="2"/>
  <c r="A10" i="1"/>
  <c r="W94" i="3"/>
  <c r="W95" i="3" s="1"/>
  <c r="H25" i="2" s="1"/>
  <c r="P32" i="3"/>
  <c r="P33" i="3" s="1"/>
  <c r="F18" i="2" s="1"/>
  <c r="P94" i="3"/>
  <c r="P95" i="3" s="1"/>
  <c r="H18" i="2" s="1"/>
  <c r="P63" i="3"/>
  <c r="P64" i="3" s="1"/>
  <c r="G18" i="2" s="1"/>
  <c r="I63" i="3"/>
  <c r="I64" i="3" s="1"/>
  <c r="G11" i="2" s="1"/>
  <c r="E8" i="2"/>
  <c r="S32" i="3"/>
  <c r="S33" i="3" s="1"/>
  <c r="F21" i="2" s="1"/>
  <c r="S94" i="3"/>
  <c r="S95" i="3" s="1"/>
  <c r="H21" i="2" s="1"/>
  <c r="E6" i="2"/>
  <c r="D63" i="3"/>
  <c r="D64" i="3" s="1"/>
  <c r="G6" i="2" s="1"/>
  <c r="T94" i="3"/>
  <c r="T95" i="3" s="1"/>
  <c r="H22" i="2" s="1"/>
  <c r="U94" i="3"/>
  <c r="U95" i="3" s="1"/>
  <c r="H23" i="2" s="1"/>
  <c r="M32" i="3"/>
  <c r="M33" i="3" s="1"/>
  <c r="F15" i="2" s="1"/>
  <c r="B63" i="3"/>
  <c r="B64" i="3" s="1"/>
  <c r="G4" i="2" s="1"/>
  <c r="N94" i="3"/>
  <c r="N95" i="3" s="1"/>
  <c r="H16" i="2" s="1"/>
  <c r="E9" i="2"/>
  <c r="G63" i="3"/>
  <c r="G64" i="3" s="1"/>
  <c r="G9" i="2" s="1"/>
  <c r="H32" i="3"/>
  <c r="H33" i="3" s="1"/>
  <c r="F10" i="2" s="1"/>
  <c r="Q63" i="3"/>
  <c r="Q64" i="3" s="1"/>
  <c r="G19" i="2" s="1"/>
  <c r="J32" i="3"/>
  <c r="J33" i="3" s="1"/>
  <c r="F12" i="2" s="1"/>
  <c r="V94" i="3"/>
  <c r="V95" i="3" s="1"/>
  <c r="H24" i="2" s="1"/>
  <c r="C63" i="3"/>
  <c r="C64" i="3" s="1"/>
  <c r="G5" i="2" s="1"/>
  <c r="E17" i="2"/>
  <c r="O94" i="3"/>
  <c r="O95" i="3" s="1"/>
  <c r="H17" i="2" s="1"/>
  <c r="L94" i="3"/>
  <c r="L95" i="3" s="1"/>
  <c r="H14" i="2" s="1"/>
  <c r="E63" i="3"/>
  <c r="E64" i="3" s="1"/>
  <c r="G7" i="2" s="1"/>
  <c r="R32" i="3"/>
  <c r="R33" i="3" s="1"/>
  <c r="F20" i="2" s="1"/>
  <c r="R63" i="3"/>
  <c r="R64" i="3" s="1"/>
  <c r="G20" i="2" s="1"/>
  <c r="K94" i="3"/>
  <c r="K95" i="3" s="1"/>
  <c r="H13" i="2" s="1"/>
  <c r="K10" i="1" s="1"/>
  <c r="C39" i="1" s="1"/>
  <c r="B39" i="1" s="1"/>
  <c r="I94" i="3"/>
  <c r="I95" i="3" s="1"/>
  <c r="H11" i="2" s="1"/>
  <c r="F63" i="3"/>
  <c r="F64" i="3" s="1"/>
  <c r="G8" i="2" s="1"/>
  <c r="D32" i="3"/>
  <c r="D33" i="3" s="1"/>
  <c r="F6" i="2" s="1"/>
  <c r="D94" i="3"/>
  <c r="D95" i="3" s="1"/>
  <c r="H6" i="2" s="1"/>
  <c r="E23" i="2"/>
  <c r="M63" i="3"/>
  <c r="M64" i="3" s="1"/>
  <c r="G15" i="2" s="1"/>
  <c r="E26" i="2" l="1"/>
</calcChain>
</file>

<file path=xl/sharedStrings.xml><?xml version="1.0" encoding="utf-8"?>
<sst xmlns="http://schemas.openxmlformats.org/spreadsheetml/2006/main" count="3900" uniqueCount="446">
  <si>
    <t>Campus Class Timetable Dashboard</t>
  </si>
  <si>
    <t>OVERALL SNAPSHOT (all classes currently in the timetable)</t>
  </si>
  <si>
    <t>TOTAL CLASS SLOTS
(all statuses)</t>
  </si>
  <si>
    <t>PHYSICAL CLASSES</t>
  </si>
  <si>
    <t>HYBRID CLASSES</t>
  </si>
  <si>
    <t>ONLINE CLASSES</t>
  </si>
  <si>
    <t>COMPLETED CLASSES</t>
  </si>
  <si>
    <t>UPCOMING CLASSES</t>
  </si>
  <si>
    <t>THIS MONTH — PLANNED CLASSES &amp; LECTURE HALL GAP (auto-updates from TODAY())</t>
  </si>
  <si>
    <t>PHYSICAL PLANNED
(this month)</t>
  </si>
  <si>
    <t>HYBRID PLANNED
(this month)</t>
  </si>
  <si>
    <t>ONLINE PLANNED
(this month)</t>
  </si>
  <si>
    <t>PHYSICAL GAP
(halls free, this month)</t>
  </si>
  <si>
    <t>HYBRID GAP
(halls free, this month)</t>
  </si>
  <si>
    <t>ONLINE GAP
(halls free, this month)</t>
  </si>
  <si>
    <t>Mode</t>
  </si>
  <si>
    <t>Halls Used</t>
  </si>
  <si>
    <t>Halls Free (Gap)</t>
  </si>
  <si>
    <t>Physical</t>
  </si>
  <si>
    <t>Hybrid</t>
  </si>
  <si>
    <t>Online</t>
  </si>
  <si>
    <t>Monthly Class Summary — Planned Classes &amp; Lecture Hall Gap by Mode</t>
  </si>
  <si>
    <t>Month</t>
  </si>
  <si>
    <t>Physical
Planned</t>
  </si>
  <si>
    <t>Hybrid
Planned</t>
  </si>
  <si>
    <t>Online
Planned</t>
  </si>
  <si>
    <t>Total
Planned</t>
  </si>
  <si>
    <t>Physical Gap
(halls free)</t>
  </si>
  <si>
    <t>Hybrid Gap
(halls free)</t>
  </si>
  <si>
    <t>Online Gap
(halls free)</t>
  </si>
  <si>
    <t>TOTAL (sum of months)</t>
  </si>
  <si>
    <t>Lecture Hall Availability — Monthly Hall Usage by Class Mode</t>
  </si>
  <si>
    <t>PHYSICAL — Sessions per Month by Lecture Hall</t>
  </si>
  <si>
    <t>Lecture Hall</t>
  </si>
  <si>
    <t>AUDITORIUM</t>
  </si>
  <si>
    <t>EAST 304</t>
  </si>
  <si>
    <t>EAST 305</t>
  </si>
  <si>
    <t>EAST 306</t>
  </si>
  <si>
    <t>EAST 307</t>
  </si>
  <si>
    <t>KITCHEN</t>
  </si>
  <si>
    <t>Library</t>
  </si>
  <si>
    <t>MAIN BOARD ROOM</t>
  </si>
  <si>
    <t>MINI BOARD ROOM</t>
  </si>
  <si>
    <t>Next to Prof. Cabin</t>
  </si>
  <si>
    <t>TECH 001</t>
  </si>
  <si>
    <t>TECH 002</t>
  </si>
  <si>
    <t>TECH 003</t>
  </si>
  <si>
    <t>TECH 004</t>
  </si>
  <si>
    <t>WEST 002</t>
  </si>
  <si>
    <t>WEST 003</t>
  </si>
  <si>
    <t>WEST 004</t>
  </si>
  <si>
    <t>WEST 005</t>
  </si>
  <si>
    <t>WEST 101</t>
  </si>
  <si>
    <t>WEST 102</t>
  </si>
  <si>
    <t>WEST 103</t>
  </si>
  <si>
    <t>WEST 104</t>
  </si>
  <si>
    <t>WEST 105</t>
  </si>
  <si>
    <t>WEST 106 (New)</t>
  </si>
  <si>
    <t>WEST 107 (New)</t>
  </si>
  <si>
    <t>WEST 108 (New)</t>
  </si>
  <si>
    <t>Halls Used — Physical</t>
  </si>
  <si>
    <t>Physical Gap (halls with no Physical session)</t>
  </si>
  <si>
    <t>HYBRID — Sessions per Month by Lecture Hall</t>
  </si>
  <si>
    <t>Halls Used — Hybrid</t>
  </si>
  <si>
    <t>Hybrid Gap (halls with no Hybrid session)</t>
  </si>
  <si>
    <t>ONLINE — Sessions per Month, General Halls Explicitly Assigned in Source Data</t>
  </si>
  <si>
    <t>Halls Used — Online</t>
  </si>
  <si>
    <t>Online Gap (halls with no Online session)</t>
  </si>
  <si>
    <t>Online-Designated / Virtual Spaces — Sessions per Month (informational only)</t>
  </si>
  <si>
    <t>Counseling Room 01 (Online)</t>
  </si>
  <si>
    <t>STUDY ABROAD ROOM (Online)</t>
  </si>
  <si>
    <t>Lecture Hall Availability Search — By Day, Time &amp; Month</t>
  </si>
  <si>
    <t>This sheet is macro-driven. Pick a Day, Time and Month below, then run the RunHallSearch macro (Developer tab &gt; Macros) to refresh the results.</t>
  </si>
  <si>
    <t>SEARCH — Check Availability for a Specific Day, Time &amp; Month</t>
  </si>
  <si>
    <t>Day:</t>
  </si>
  <si>
    <t>Monday</t>
  </si>
  <si>
    <t>Time:</t>
  </si>
  <si>
    <t>RunHallSearch</t>
  </si>
  <si>
    <t>Month:</t>
  </si>
  <si>
    <t>(Any Month)</t>
  </si>
  <si>
    <t>Checks whether the program is actually running that month (based on its Start/End Date). Choose "(Any Month)" to ignore this check.</t>
  </si>
  <si>
    <t>Class status included:</t>
  </si>
  <si>
    <t>Ongoing and Upcoming classes (Completed classes are ignored) — set by the macro</t>
  </si>
  <si>
    <t>Last search:</t>
  </si>
  <si>
    <t>Room Type</t>
  </si>
  <si>
    <t>Status</t>
  </si>
  <si>
    <t>Occupied By (Program / Batch)</t>
  </si>
  <si>
    <t>Occupied Time Slot</t>
  </si>
  <si>
    <t>General physical space</t>
  </si>
  <si>
    <t>Free</t>
  </si>
  <si>
    <t>TimeSlotList</t>
  </si>
  <si>
    <t>MonthList</t>
  </si>
  <si>
    <t>Online-designated / Virtual</t>
  </si>
  <si>
    <t>BROWSE — All Scheduled Sessions by Day &amp; Time (use column filter arrows to search)</t>
  </si>
  <si>
    <t>Weekday</t>
  </si>
  <si>
    <t>Start Time</t>
  </si>
  <si>
    <t>End Time</t>
  </si>
  <si>
    <t>Program / Batch</t>
  </si>
  <si>
    <t>Class Status</t>
  </si>
  <si>
    <t>08:15 AM</t>
  </si>
  <si>
    <t>11:15 AM</t>
  </si>
  <si>
    <t>CSD 98 - CS - Mr. Ravindu</t>
  </si>
  <si>
    <t>IFS - B15 - DBB  -     Dr. Dulani</t>
  </si>
  <si>
    <t>09:15 AM</t>
  </si>
  <si>
    <t>12:15 PM</t>
  </si>
  <si>
    <t>HM B20 - OHS - Ms. Semini</t>
  </si>
  <si>
    <t>HM B19 - French - Ms. Navithma</t>
  </si>
  <si>
    <t>HND CSD B94 - IOT - Mr.Anis</t>
  </si>
  <si>
    <t>FBIT B16 - FIT - Mr. Ramesh</t>
  </si>
  <si>
    <t>HND CSD B96 - CRP - Ms. Maleesha</t>
  </si>
  <si>
    <t>HND BM  - 74 - LM - Mr . Shankar</t>
  </si>
  <si>
    <t>04:15 PM</t>
  </si>
  <si>
    <t>DHM B 18 - P &amp; B - Ms. Jayalath</t>
  </si>
  <si>
    <t>03:15 PM</t>
  </si>
  <si>
    <t>CSD 98 - PCP - Ms. Sandali</t>
  </si>
  <si>
    <t>CSD 94 - ML - Mr. Viraj</t>
  </si>
  <si>
    <t>01:15 PM</t>
  </si>
  <si>
    <t>HM B20 - French - Ms. Navithma</t>
  </si>
  <si>
    <t>DHM - 19 - MM  - Ms. Semini</t>
  </si>
  <si>
    <t>HND CSD B96 - BPS - Ms. Promodhi</t>
  </si>
  <si>
    <t>HND CSD B94 - FAI - Ms. Ayeshwary</t>
  </si>
  <si>
    <t>ACCESS ENGLISH B326 - Ms. Disara</t>
  </si>
  <si>
    <t>HND BM  - 74 - MPP - Ms . Kaushalya</t>
  </si>
  <si>
    <t>HND CSD B94 - UEID - Mr. Tharinda</t>
  </si>
  <si>
    <t>HND CSD B94 - NM - Mr. S Moulana</t>
  </si>
  <si>
    <t>FBIT 12 - HRM - Ms. Buddhimali</t>
  </si>
  <si>
    <t>Tuesday</t>
  </si>
  <si>
    <t>HND BMS 32 - IM - Dr. Dulani</t>
  </si>
  <si>
    <t>CSD 94 - ACC - Mr. Ravindu</t>
  </si>
  <si>
    <t>HND BMS 31 - CC - Dr. Anjali</t>
  </si>
  <si>
    <t>ACCESS B326 - Ms. Maleesha</t>
  </si>
  <si>
    <t>HND CSD B94 - APDP -  Mr. Gaveen</t>
  </si>
  <si>
    <t>HM B 19 -  F &amp; O - Mr. Sujeewa</t>
  </si>
  <si>
    <t>IFS - B15 - DBC  - Ms.Samitha</t>
  </si>
  <si>
    <t>DHM -18 - T &amp; L - Ms. Alokani</t>
  </si>
  <si>
    <t>HND CSD B94 - AAM -  Mr. Viraj</t>
  </si>
  <si>
    <t>HM B20 - EBM - Ms. Navodya</t>
  </si>
  <si>
    <t>HM B20 - T&amp;T - Ms. Shammi</t>
  </si>
  <si>
    <t>DHM - 19 - F &amp; B  - Ms. Alokani</t>
  </si>
  <si>
    <t>HND BMS 32 - MBG - Dr. Dulani</t>
  </si>
  <si>
    <t>IFS - B15 - PAB  - Ms.Anjali</t>
  </si>
  <si>
    <t>Wednesday</t>
  </si>
  <si>
    <t>HND BM - 68 -BS - Ms.Kaushalya</t>
  </si>
  <si>
    <t>HND CSD B102 - PRG - Ms. Sandali</t>
  </si>
  <si>
    <t>DHM B 18 - IT - Ms .Menu</t>
  </si>
  <si>
    <t>FBIT B16 - DA - Ms. Promodhi</t>
  </si>
  <si>
    <t>DHTM 20 - F/VC - Chef . Piyadasa</t>
  </si>
  <si>
    <t>DHM B19 -  EBM  - Ms. Novodya</t>
  </si>
  <si>
    <t>IFS B 13 - GC - Ms. Samitha</t>
  </si>
  <si>
    <t>IFS - B15 - DBPAB- Ms.Chavika</t>
  </si>
  <si>
    <t>HM B20 -  ECHM  - Mr. Chinthaka</t>
  </si>
  <si>
    <t>FBIT B16 - OM - Ms. Sandali</t>
  </si>
  <si>
    <t>HND BMS - 33/34 - FOCB - Ms.Samitha</t>
  </si>
  <si>
    <t>DHTM 19 - F/VC - Chef . Piyadasa</t>
  </si>
  <si>
    <t>HND CSD B102 - DDD - Ms. Maleesha</t>
  </si>
  <si>
    <t>DHM B18 -  EBM  - Ms. Novodya</t>
  </si>
  <si>
    <t>IFS - B15 - DBLT - Ms. Samitha</t>
  </si>
  <si>
    <t>HND BM - 68 -RP - Mr.Shazna</t>
  </si>
  <si>
    <t>HND CSD B94 - ISM - Mr. Ravindu</t>
  </si>
  <si>
    <t>Thursday</t>
  </si>
  <si>
    <t>HND BMS 31 - ASDI - Mr.Kithsiri</t>
  </si>
  <si>
    <t>FBIT B16 - PCS - Ms. Disara</t>
  </si>
  <si>
    <t>HM B20 - MM - Ms. Semini</t>
  </si>
  <si>
    <t>DHM - 19 - T&amp;T  - Ms. Ishara Shammi</t>
  </si>
  <si>
    <t>HND CSD B96 - DM - Mr. Gaveen</t>
  </si>
  <si>
    <t>HND CSD B96 - CC - Mr. Anis</t>
  </si>
  <si>
    <t>HND CSD B96 - APDP - Mr. Viraj</t>
  </si>
  <si>
    <t>BM-74-MHR- Ms.Kaushalya</t>
  </si>
  <si>
    <t>Ms . Alokani - F &amp; B - DHTM B18</t>
  </si>
  <si>
    <t>HND BMS 32 - ASRP - Ms. Chavika</t>
  </si>
  <si>
    <t>Chef. Randeniya - MKO - DHTM B19</t>
  </si>
  <si>
    <t>HND CSD B94 - NS - Ms. Menu</t>
  </si>
  <si>
    <t>CSD 98 - SC - Ms.Menu</t>
  </si>
  <si>
    <t>HND BMS 31 - BMMP - Ms. Samitha</t>
  </si>
  <si>
    <t>HM B20 - T &amp; L - Ms. Alokani</t>
  </si>
  <si>
    <t>HND BMS - 32 - HH - Dr. Anjali</t>
  </si>
  <si>
    <t>HND BMS - 34 - MM - Dr. Dulani</t>
  </si>
  <si>
    <t>HND CSD B96 - DSA - Ms. Sandali</t>
  </si>
  <si>
    <t>FBIT B16 - BPM - Mr. Gaveen</t>
  </si>
  <si>
    <t>HND CSD B96 - TND - Mr. S Moulana</t>
  </si>
  <si>
    <t>BM-74-CBE- Ms.Jadharshany</t>
  </si>
  <si>
    <t>Ms . Navodya-  HKO  - DHTM B18</t>
  </si>
  <si>
    <t>HND CSD B96 - ML - Mr. Viraj</t>
  </si>
  <si>
    <t>Friday</t>
  </si>
  <si>
    <t>11:15 PM</t>
  </si>
  <si>
    <t>HND CSD 98 - SIS - Ms. Hansani</t>
  </si>
  <si>
    <t>HM B20 - HRM - Mr. Kariyawasam</t>
  </si>
  <si>
    <t>HND CSD B102 - PP - Ms. Ayeshwary</t>
  </si>
  <si>
    <t>HND CSD - 100 - NW - Ms. Menu</t>
  </si>
  <si>
    <t>DHM - 19 - MWPO  - Ms. Ishara Shammi</t>
  </si>
  <si>
    <t>HND BMS 31 - IDD - Dr. Dulani</t>
  </si>
  <si>
    <t>HND CSD B102 - NW - Ms. Menu</t>
  </si>
  <si>
    <t>HND CSD - 100 - PRG - Ms. Hansani</t>
  </si>
  <si>
    <t>Access IT-B324-WDD-Ms.Ayeshwery</t>
  </si>
  <si>
    <t>DHM - 19 - ECHM  - Mr. Chinthaka Weediyage</t>
  </si>
  <si>
    <t>HND BM -68 - BI - Ms. Jadharshny</t>
  </si>
  <si>
    <t>CSD 98 - SDLC - Mr. Tharinda</t>
  </si>
  <si>
    <t>Saturday</t>
  </si>
  <si>
    <t>08:00 AM</t>
  </si>
  <si>
    <t>05:00 PM</t>
  </si>
  <si>
    <t>HND QS - B78 - ME - Ms. Tharangani</t>
  </si>
  <si>
    <t>03:00 PM</t>
  </si>
  <si>
    <t>HND BM 67</t>
  </si>
  <si>
    <t>12:00 PM</t>
  </si>
  <si>
    <t>Access English - B327</t>
  </si>
  <si>
    <t>HND LAW - B36</t>
  </si>
  <si>
    <t>HND in Psy - B01-CBA-Nethmi Nanayakkara</t>
  </si>
  <si>
    <t>DIE 10/11  ( Online )</t>
  </si>
  <si>
    <t>CCDT 06/7/8 - AutoCAD - Mr. Hasni</t>
  </si>
  <si>
    <t>10:00 AM</t>
  </si>
  <si>
    <t>FBIT - B17 - FIT - Ms. Ayeshwary</t>
  </si>
  <si>
    <t>HND CSD 95/91 - BPS - Ms. Promodi</t>
  </si>
  <si>
    <t>HND CSD B 103</t>
  </si>
  <si>
    <t>HND QS - 76 - TP - Mr. Chathuranga</t>
  </si>
  <si>
    <t>HND BM 75 - MHR - Ms. Buddhimali</t>
  </si>
  <si>
    <t>HND CSD 99 - SDLC - Mr. Tharinda</t>
  </si>
  <si>
    <t>HND HM - B04</t>
  </si>
  <si>
    <t>HND QS - 71/73 - AQCBP - Ms. Chamini</t>
  </si>
  <si>
    <t>CCDT 12</t>
  </si>
  <si>
    <t>HND CSD 99 - SIS - Ms. Hansani</t>
  </si>
  <si>
    <t>Access 325  - IT - Mr.Ramesh</t>
  </si>
  <si>
    <t>HND  LAW - 34</t>
  </si>
  <si>
    <t>HND CE 24 - FMC - Mr. Tharindu Dilshan</t>
  </si>
  <si>
    <t>HND CE 28 - MC /SM Ms. Rushmika</t>
  </si>
  <si>
    <t>HND ECEC BATCH 09 - SPCD (Online)-Ms-Indrachapa</t>
  </si>
  <si>
    <t>HND ECEC BATCH 03 MLPCPE- - Mr.Akila (online)</t>
  </si>
  <si>
    <t>HND CSD 99 - WDD - Ms. Ayeshwari</t>
  </si>
  <si>
    <t>HND BM 75- MPP - Mr. Lasantha</t>
  </si>
  <si>
    <t>FBIT - B17 - DA - Ms. Promodi</t>
  </si>
  <si>
    <t>01:00 PM</t>
  </si>
  <si>
    <t>HND BM B DL - B03</t>
  </si>
  <si>
    <t>HND ECEC BATCH 05  AR - Mr.Akila (online)</t>
  </si>
  <si>
    <t>HND CSD 95/91 - DSA/DM - Mr. Tharinda and Ms. Hansani</t>
  </si>
  <si>
    <t>HND CSD 95/91 -  Mr. Ravindu</t>
  </si>
  <si>
    <t>HND CSD 95/91 - APDA / ML- Ms. Hansani and Mr. Viraj</t>
  </si>
  <si>
    <t>HND QS - 71 - VECC - Mr. Chathuranga</t>
  </si>
  <si>
    <t>HND BM 75</t>
  </si>
  <si>
    <t>HND CSD 99</t>
  </si>
  <si>
    <t>HND CSD 95/91 - CC - Mr. Anis</t>
  </si>
  <si>
    <t>HND QS - 76 - QSP - Ms. Chamini</t>
  </si>
  <si>
    <t>DIE - B12 A</t>
  </si>
  <si>
    <t>Access IT - B327</t>
  </si>
  <si>
    <t>HND CE 27, CE 24 - CTCBP - Ms. Nipuni-</t>
  </si>
  <si>
    <t>HND BM 67 - RP - Ms. Jadharshny</t>
  </si>
  <si>
    <t>Sunday</t>
  </si>
  <si>
    <t>03:00 AM</t>
  </si>
  <si>
    <t>FBIT 15 (DL) - FIT - Ms. Menu</t>
  </si>
  <si>
    <t>LLB-LSBU- LS/CAL-Mr.Melwin</t>
  </si>
  <si>
    <t>MBA - Managment Strategy B01</t>
  </si>
  <si>
    <t>MBA - Managment Strategy B02</t>
  </si>
  <si>
    <t>TOPUP - BM - B01 - A&amp;F</t>
  </si>
  <si>
    <t>TOPUP - BM - General</t>
  </si>
  <si>
    <t>HND in Psy - B01,  B02 &amp; 03</t>
  </si>
  <si>
    <t>CCDT- 07 - DT  -Mr. Hasni</t>
  </si>
  <si>
    <t>HND CSD 89 / 93 - NM - Mr. Ravindu</t>
  </si>
  <si>
    <t>Hybrid/Physical (mixed)</t>
  </si>
  <si>
    <t>HND CE B29 - MC - Ms. Rushmika</t>
  </si>
  <si>
    <t>HND B101</t>
  </si>
  <si>
    <t>DIE - 11B</t>
  </si>
  <si>
    <t>FBIT - B17</t>
  </si>
  <si>
    <t>HND QS 72 - AQCBP - Ms. Hiruni</t>
  </si>
  <si>
    <t>HND QS 75</t>
  </si>
  <si>
    <t>HND HM - B02/B03  -  Mr. Amesh Neran</t>
  </si>
  <si>
    <t>CCDT- 09</t>
  </si>
  <si>
    <t>HND HM 03</t>
  </si>
  <si>
    <t>HND HM B01</t>
  </si>
  <si>
    <t>Access IT - 325 - Mr. Tharinda &amp; Ms. Ayeshwari - [8AM - 12PM]</t>
  </si>
  <si>
    <t>HND LAW - 32 / 33</t>
  </si>
  <si>
    <t>HND BM- B 73</t>
  </si>
  <si>
    <t>HND BM 65 - GBE- Ms. Kaushalya</t>
  </si>
  <si>
    <t>HND CSD 93</t>
  </si>
  <si>
    <t>12:00 AM</t>
  </si>
  <si>
    <t>HND B 65 - OB - Ms. Buddhimali</t>
  </si>
  <si>
    <t>HND BM 71</t>
  </si>
  <si>
    <t>HND LAW - 35</t>
  </si>
  <si>
    <t>HND CE 29 - ME - Mr. Tharindu</t>
  </si>
  <si>
    <t>HND HM 02</t>
  </si>
  <si>
    <t>HND BM - 65 - POM - Ms. Shazna</t>
  </si>
  <si>
    <t>HND CE 24 &amp; 27 - Ms. Nipuni</t>
  </si>
  <si>
    <t>FBIT - B17 - BPM - Ms. Sandali</t>
  </si>
  <si>
    <t>HND BM 69 - AP - Mr. Tharaka</t>
  </si>
  <si>
    <t>Class Schedule Analysis — Cleaned Weekly Timetable with Status &amp; Conflict Detection</t>
  </si>
  <si>
    <t>ID</t>
  </si>
  <si>
    <t>Wkday#
(1=Mon..7=Sun)</t>
  </si>
  <si>
    <t>Time (source)</t>
  </si>
  <si>
    <t>Start
Time</t>
  </si>
  <si>
    <t>End
Time</t>
  </si>
  <si>
    <t>Start
(min)</t>
  </si>
  <si>
    <t>End
(min)</t>
  </si>
  <si>
    <t>Time
Data Issue</t>
  </si>
  <si>
    <t>Mode
Issue</t>
  </si>
  <si>
    <t>Duration (source text)</t>
  </si>
  <si>
    <t>Start Date</t>
  </si>
  <si>
    <t>End Date</t>
  </si>
  <si>
    <t>Date
Status</t>
  </si>
  <si>
    <t>Class Status
(as of today)</t>
  </si>
  <si>
    <t>Conflict
Flag</t>
  </si>
  <si>
    <t>8.15 AM -11.15 AM</t>
  </si>
  <si>
    <t>Semester 01-  13th July 2026 - 14th December 2026</t>
  </si>
  <si>
    <t>Semester 02- 27th April 2026- 27th August 2026</t>
  </si>
  <si>
    <t>9.15 AM - 12.15 PM</t>
  </si>
  <si>
    <t>Semester 01- 13th July 2026- 2nd Novermber 2026</t>
  </si>
  <si>
    <t>9.15 AM - 4.15 PM</t>
  </si>
  <si>
    <t>Semester 02- 27th April 2026- 19th October 2026</t>
  </si>
  <si>
    <t>Semester 04- 7th July 2026- 20th Novermber 2026</t>
  </si>
  <si>
    <t>Semester 01- From 13th July 2026 - 14th December 2026</t>
  </si>
  <si>
    <t>Semester 03- From 18th June 2026 - 28th October 2026</t>
  </si>
  <si>
    <t>Semester 01- From 13th July 2026 - 31st August 2027</t>
  </si>
  <si>
    <t>Semester 01- From 16th March 2026 - 23rd July 2026</t>
  </si>
  <si>
    <t>12.15 PM - 4.15 PM</t>
  </si>
  <si>
    <t>12.15 PM - 3.15 PM</t>
  </si>
  <si>
    <t>1.15 PM - 4.15 PM</t>
  </si>
  <si>
    <t>Semester 02- 16th March 2026- 29th June 2026</t>
  </si>
  <si>
    <t xml:space="preserve"> 13th July 2026 - 01st December 2026</t>
  </si>
  <si>
    <t>Semester 04- 17th June 2026- 21st September 2026</t>
  </si>
  <si>
    <t>Semester 03- 11th May 2026- 17th August 2026</t>
  </si>
  <si>
    <t>Semester 01-  16th March 2026 - 23rd July 2026</t>
  </si>
  <si>
    <t>Semester 02- 30th March 2026- 30th July 2026</t>
  </si>
  <si>
    <t>Semester 01-  13th July 2026 - 31st August 2027</t>
  </si>
  <si>
    <t>Semester 01- 13th July 2026- 02nd Novermber 2026</t>
  </si>
  <si>
    <t>Semester 03-  05th May 2026 - 25th August 2026</t>
  </si>
  <si>
    <t>Semester 02-  16th March 2026 - 23rd July 2026</t>
  </si>
  <si>
    <t>8.15 AM - 12.15 PM</t>
  </si>
  <si>
    <t>Semester 04 - 17th June 2026- 21st September 2026</t>
  </si>
  <si>
    <t>8.15 AM - 11.15 PM</t>
  </si>
  <si>
    <t>9.15 AM - 11.15 PM</t>
  </si>
  <si>
    <t>Semester 01- 16th March 2026- 23rd July 2026</t>
  </si>
  <si>
    <t>Semester 03 - 5th May 2026- 25th August 2026</t>
  </si>
  <si>
    <t>16th March 2026- 23rd July 2026</t>
  </si>
  <si>
    <t>10.00 AM - 12.00 PM</t>
  </si>
  <si>
    <t>Semester 01-  11th July 2026 - 05th December 2026</t>
  </si>
  <si>
    <t>08.00 AM - 12.00 PM</t>
  </si>
  <si>
    <t>missing</t>
  </si>
  <si>
    <t>Semester 01-  11th July 2026 - 11th November 2026</t>
  </si>
  <si>
    <t>08.00 AM - 10.00 AM</t>
  </si>
  <si>
    <t>Semester 02-  20th June 2026 - 20th December 2026</t>
  </si>
  <si>
    <t>Semester 01-  11th July 2026 -31st October 2026</t>
  </si>
  <si>
    <t xml:space="preserve"> 05th April 2026 16th August 2026</t>
  </si>
  <si>
    <t>08.00 AM - 03.00 PM</t>
  </si>
  <si>
    <t>Semester 02-  09th May 2026 - 31st October 2026</t>
  </si>
  <si>
    <t>08.00 AM - 05.00 PM</t>
  </si>
  <si>
    <t>Semester 01-  03rd November 2025 - 03rd November 2026 (CCDT 08)</t>
  </si>
  <si>
    <t>Semester 03/04-  06th June 2026 - 13th September 2026</t>
  </si>
  <si>
    <t>Semester 01-  11th July 2026 -19th December 2026</t>
  </si>
  <si>
    <t>28th March 2026 - 13th December 2026</t>
  </si>
  <si>
    <t>Semester 03-  13th June 2026 - 30th November 2026</t>
  </si>
  <si>
    <t>01.00 PM - 03.00 PM</t>
  </si>
  <si>
    <t>03.00 PM - 05.00 PM</t>
  </si>
  <si>
    <t>01.00 PM - 05.00 PM</t>
  </si>
  <si>
    <t>Semester 03-  06th April 2026 - 26th October 2026(CE 27)</t>
  </si>
  <si>
    <t>Semester 01-  28th March 2026 - 12th September 2026</t>
  </si>
  <si>
    <t xml:space="preserve">Semester 03- </t>
  </si>
  <si>
    <t>Semester 01-  05th April 2026 - 20th September 2026</t>
  </si>
  <si>
    <t>Semester 01-  06th July 2026 - 20th September 2026</t>
  </si>
  <si>
    <t>mixed</t>
  </si>
  <si>
    <t>until 31st July 2026</t>
  </si>
  <si>
    <t>partial (only one date found)</t>
  </si>
  <si>
    <t>Semester 01-  26th Apirl 2026 - 04th September 2026</t>
  </si>
  <si>
    <t>Semester 01- 26th Apirl 2026 - 04th October 2026</t>
  </si>
  <si>
    <t xml:space="preserve">Semester 03-  10th May 2026 - 10th October 2026 </t>
  </si>
  <si>
    <t xml:space="preserve">Semester 01-  05th April 2026 - 20th September 2026 </t>
  </si>
  <si>
    <t>Semester 01-  05th April 2026 - 20th September 2026 (B03)</t>
  </si>
  <si>
    <t xml:space="preserve">Semester 01-  05th April 2026 - 27th October 2026 </t>
  </si>
  <si>
    <t xml:space="preserve">Semester 02-  05th April 2026 - 27th October 2026 </t>
  </si>
  <si>
    <t>Semester 03- June 2026 - January 2027</t>
  </si>
  <si>
    <t xml:space="preserve"> 05th April 2026 - 16th August 2026 </t>
  </si>
  <si>
    <t>10.00 AM - 05.00 PM</t>
  </si>
  <si>
    <t>05th April 2026 - 13th December 2026</t>
  </si>
  <si>
    <t xml:space="preserve">Semester 01-  11th July 2026 - 31st October 2026 </t>
  </si>
  <si>
    <t>10.00 AM - 03.00 PM</t>
  </si>
  <si>
    <t>Semester 03-  26th July 2026 - 10th January 2027</t>
  </si>
  <si>
    <t>10.00 AM - 12.00 AM</t>
  </si>
  <si>
    <t>03.00 AM - 05.00 PM</t>
  </si>
  <si>
    <t>Monthly Occurrences (Supporting Calculation Sheet) — Monthly Summary &amp; Lecture Hall Availability</t>
  </si>
  <si>
    <t>Month Start -&gt;</t>
  </si>
  <si>
    <t>Wkday#</t>
  </si>
  <si>
    <t>Completed vs Ongoing vs Upcoming Classes</t>
  </si>
  <si>
    <t>Other/Unspecified Mode</t>
  </si>
  <si>
    <t>Total</t>
  </si>
  <si>
    <t>Completed</t>
  </si>
  <si>
    <t>Ongoing</t>
  </si>
  <si>
    <t>Upcoming</t>
  </si>
  <si>
    <t>Unknown (missing duration data)</t>
  </si>
  <si>
    <t>TOTAL</t>
  </si>
  <si>
    <t>Source Data — Original Class Timetable (as provided, with Weekday added)</t>
  </si>
  <si>
    <t>Time</t>
  </si>
  <si>
    <t>Classroom</t>
  </si>
  <si>
    <t>Mode (as entered)</t>
  </si>
  <si>
    <t>Duration (as entered)</t>
  </si>
  <si>
    <t xml:space="preserve">WEST 101 </t>
  </si>
  <si>
    <t xml:space="preserve">TECH 002 </t>
  </si>
  <si>
    <t xml:space="preserve">CSD 98 - CS - Mr. Ravindu </t>
  </si>
  <si>
    <t xml:space="preserve">WEST 004 </t>
  </si>
  <si>
    <t xml:space="preserve">WEST 005 </t>
  </si>
  <si>
    <t xml:space="preserve">TECH 001  </t>
  </si>
  <si>
    <t xml:space="preserve">TECH 003 </t>
  </si>
  <si>
    <t xml:space="preserve">TECH 004 </t>
  </si>
  <si>
    <t xml:space="preserve">TECH 001 </t>
  </si>
  <si>
    <t xml:space="preserve">WEST 102 </t>
  </si>
  <si>
    <t xml:space="preserve">WEST 103 </t>
  </si>
  <si>
    <t xml:space="preserve">WEST 105 </t>
  </si>
  <si>
    <t xml:space="preserve">WEST 002 </t>
  </si>
  <si>
    <t xml:space="preserve">WEST 003 </t>
  </si>
  <si>
    <t xml:space="preserve">WEST 104 </t>
  </si>
  <si>
    <t xml:space="preserve">HND BMS 32 - IM - Dr. Dulani </t>
  </si>
  <si>
    <t xml:space="preserve">HND BMS 32 - MBG - Dr. Dulani </t>
  </si>
  <si>
    <t xml:space="preserve">EAST 304 </t>
  </si>
  <si>
    <t xml:space="preserve">HND BMS 32 - ASRP - Ms. Chavika </t>
  </si>
  <si>
    <t xml:space="preserve">HND CSD 98 - SIS - Ms. Hansani </t>
  </si>
  <si>
    <t xml:space="preserve">CSD 98 - SDLC - Mr. Tharinda </t>
  </si>
  <si>
    <t xml:space="preserve">CCDT 12 </t>
  </si>
  <si>
    <t xml:space="preserve">HND  LAW - 34 </t>
  </si>
  <si>
    <t xml:space="preserve">WEST 003  </t>
  </si>
  <si>
    <t xml:space="preserve">HND HM - B04 </t>
  </si>
  <si>
    <t xml:space="preserve">HND BM 67 </t>
  </si>
  <si>
    <t xml:space="preserve">Access English - B327 </t>
  </si>
  <si>
    <t xml:space="preserve">HND LAW - B36 </t>
  </si>
  <si>
    <t xml:space="preserve">MINI BOARD ROOM </t>
  </si>
  <si>
    <t xml:space="preserve">MAIN BOARD ROOM </t>
  </si>
  <si>
    <t xml:space="preserve">DIE - B12 A </t>
  </si>
  <si>
    <t xml:space="preserve">Access IT - B327 </t>
  </si>
  <si>
    <t xml:space="preserve">HND CE 27, CE 24 - CTCBP - Ms. Nipuni- </t>
  </si>
  <si>
    <t xml:space="preserve">HND BM 75 </t>
  </si>
  <si>
    <t xml:space="preserve">HND CSD 99 </t>
  </si>
  <si>
    <t xml:space="preserve">HND BM B DL - B03 </t>
  </si>
  <si>
    <t xml:space="preserve">HND QS 75 </t>
  </si>
  <si>
    <t>Hybrid / Physical</t>
  </si>
  <si>
    <t xml:space="preserve">MBA - Managment Strategy B01 </t>
  </si>
  <si>
    <t xml:space="preserve">Hybrid </t>
  </si>
  <si>
    <t xml:space="preserve">TOPUP - BM - B01 - A&amp;F </t>
  </si>
  <si>
    <t xml:space="preserve">TOPUP - BM - General </t>
  </si>
  <si>
    <t>WEST 106 (New/ Hybrid)</t>
  </si>
  <si>
    <t xml:space="preserve">LLB-LSBU- LS/CAL-Mr.Melwin </t>
  </si>
  <si>
    <t xml:space="preserve">HND in Psy - B01,  B02 &amp; 03 </t>
  </si>
  <si>
    <t xml:space="preserve">HND HM 03 </t>
  </si>
  <si>
    <t xml:space="preserve">HND HM 02 </t>
  </si>
  <si>
    <t xml:space="preserve">HND BM 71 </t>
  </si>
  <si>
    <t xml:space="preserve">HND LAW - 35 </t>
  </si>
  <si>
    <t xml:space="preserve">FBIT - B17 </t>
  </si>
  <si>
    <t xml:space="preserve">HND B101 </t>
  </si>
  <si>
    <t>This sheet preserves the original source data exactly as uploaded (7 weekday sheets combined), with only a Weekday column added for reference.</t>
  </si>
  <si>
    <t>Occupied</t>
  </si>
  <si>
    <t>08:00 AM - 05:00 PM</t>
  </si>
  <si>
    <t>08:00 AM - 12:00 PM</t>
  </si>
  <si>
    <t>10:00 AM - 03:00 PM</t>
  </si>
  <si>
    <t>Last searched: Sunday at 10:15 AM, Sep 2026 (run 08-Sep-2026 09:29)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</si>
</sst>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yyyy"/>
    <numFmt numFmtId="165" formatCode="mmm\-yy"/>
    <numFmt numFmtId="166" formatCode="mmm\ yyyy"/>
    <numFmt numFmtId="167" formatCode="dd\-mmm\-yyyy"/>
  </numFmts>
  <fonts count="31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0"/>
      <color rgb="FF595959"/>
      <name val="Arial"/>
      <family val="2"/>
    </font>
    <font>
      <b/>
      <sz val="11"/>
      <color rgb="FF1F3864"/>
      <name val="Arial"/>
      <family val="2"/>
    </font>
    <font>
      <b/>
      <sz val="9"/>
      <color rgb="FFFFFFFF"/>
      <name val="Arial"/>
      <family val="2"/>
    </font>
    <font>
      <b/>
      <sz val="20"/>
      <color rgb="FF1F3864"/>
      <name val="Arial"/>
      <family val="2"/>
    </font>
    <font>
      <b/>
      <sz val="20"/>
      <color rgb="FF2E75B6"/>
      <name val="Arial"/>
      <family val="2"/>
    </font>
    <font>
      <b/>
      <sz val="20"/>
      <color rgb="FF7030A0"/>
      <name val="Arial"/>
      <family val="2"/>
    </font>
    <font>
      <b/>
      <sz val="20"/>
      <color rgb="FF0F9D58"/>
      <name val="Arial"/>
      <family val="2"/>
    </font>
    <font>
      <b/>
      <sz val="20"/>
      <color rgb="FF2E7D32"/>
      <name val="Arial"/>
      <family val="2"/>
    </font>
    <font>
      <b/>
      <sz val="20"/>
      <color rgb="FFB7791F"/>
      <name val="Arial"/>
      <family val="2"/>
    </font>
    <font>
      <b/>
      <sz val="20"/>
      <color rgb="FFC0392B"/>
      <name val="Arial"/>
      <family val="2"/>
    </font>
    <font>
      <i/>
      <sz val="9"/>
      <color rgb="FF808080"/>
      <name val="Arial"/>
      <family val="2"/>
    </font>
    <font>
      <b/>
      <sz val="11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2E7D32"/>
      <name val="Arial"/>
      <family val="2"/>
    </font>
    <font>
      <i/>
      <sz val="9"/>
      <color rgb="FF595959"/>
      <name val="Arial"/>
      <family val="2"/>
    </font>
    <font>
      <b/>
      <sz val="10"/>
      <color rgb="FF1F3864"/>
      <name val="Arial"/>
      <family val="2"/>
    </font>
    <font>
      <b/>
      <i/>
      <sz val="10"/>
      <color rgb="FF9C0006"/>
      <name val="Arial"/>
      <family val="2"/>
    </font>
    <font>
      <sz val="9"/>
      <color rgb="FFC0392B"/>
      <name val="Arial"/>
      <family val="2"/>
    </font>
    <font>
      <b/>
      <sz val="12"/>
      <color rgb="FFFFFFFF"/>
      <name val="Arial"/>
      <family val="2"/>
    </font>
    <font>
      <i/>
      <sz val="8"/>
      <color rgb="FF808080"/>
      <name val="Arial"/>
      <family val="2"/>
    </font>
    <font>
      <sz val="8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F81BD"/>
      </patternFill>
    </fill>
    <fill>
      <patternFill patternType="solid">
        <fgColor rgb="FF7030A0"/>
        <bgColor rgb="FF333399"/>
      </patternFill>
    </fill>
    <fill>
      <patternFill patternType="solid">
        <fgColor rgb="FF0F9D58"/>
        <bgColor rgb="FF2E7D32"/>
      </patternFill>
    </fill>
    <fill>
      <patternFill patternType="solid">
        <fgColor rgb="FF2E7D32"/>
        <bgColor rgb="FF0F9D58"/>
      </patternFill>
    </fill>
    <fill>
      <patternFill patternType="solid">
        <fgColor rgb="FFB7791F"/>
        <bgColor rgb="FFC0504D"/>
      </patternFill>
    </fill>
    <fill>
      <patternFill patternType="solid">
        <fgColor rgb="FFFFFFFF"/>
        <bgColor rgb="FFF2F2F2"/>
      </patternFill>
    </fill>
    <fill>
      <patternFill patternType="solid">
        <fgColor rgb="FFC0392B"/>
        <bgColor rgb="FFC0504D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3" fillId="0" borderId="0" xfId="0" applyFont="1"/>
    <xf numFmtId="0" fontId="15" fillId="2" borderId="1" xfId="0" applyFont="1" applyFill="1" applyBorder="1" applyAlignment="1">
      <alignment horizontal="center" vertical="center" wrapText="1"/>
    </xf>
    <xf numFmtId="164" fontId="16" fillId="0" borderId="2" xfId="0" applyNumberFormat="1" applyFont="1" applyBorder="1"/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4" fontId="16" fillId="10" borderId="2" xfId="0" applyNumberFormat="1" applyFont="1" applyFill="1" applyBorder="1"/>
    <xf numFmtId="0" fontId="17" fillId="10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0" fillId="2" borderId="0" xfId="0" applyFill="1"/>
    <xf numFmtId="0" fontId="14" fillId="2" borderId="0" xfId="0" applyFont="1" applyFill="1" applyAlignment="1">
      <alignment vertical="center" wrapText="1"/>
    </xf>
    <xf numFmtId="0" fontId="4" fillId="2" borderId="0" xfId="0" applyFont="1" applyFill="1"/>
    <xf numFmtId="165" fontId="20" fillId="3" borderId="0" xfId="0" applyNumberFormat="1" applyFont="1" applyFill="1" applyAlignment="1">
      <alignment horizontal="center"/>
    </xf>
    <xf numFmtId="0" fontId="21" fillId="0" borderId="2" xfId="0" applyFont="1" applyBorder="1"/>
    <xf numFmtId="0" fontId="21" fillId="10" borderId="2" xfId="0" applyFont="1" applyFill="1" applyBorder="1"/>
    <xf numFmtId="0" fontId="22" fillId="0" borderId="0" xfId="0" applyFont="1"/>
    <xf numFmtId="0" fontId="23" fillId="0" borderId="0" xfId="0" applyFont="1"/>
    <xf numFmtId="0" fontId="23" fillId="0" borderId="2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4" fillId="0" borderId="0" xfId="0" applyFont="1"/>
    <xf numFmtId="0" fontId="15" fillId="2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 wrapText="1"/>
    </xf>
    <xf numFmtId="18" fontId="0" fillId="0" borderId="0" xfId="0" applyNumberFormat="1"/>
    <xf numFmtId="166" fontId="0" fillId="0" borderId="0" xfId="0" applyNumberFormat="1"/>
    <xf numFmtId="0" fontId="17" fillId="0" borderId="2" xfId="0" applyFont="1" applyBorder="1" applyAlignment="1">
      <alignment horizontal="left" vertical="center" wrapText="1"/>
    </xf>
    <xf numFmtId="167" fontId="17" fillId="0" borderId="2" xfId="0" applyNumberFormat="1" applyFont="1" applyBorder="1" applyAlignment="1">
      <alignment horizontal="center" vertical="center"/>
    </xf>
    <xf numFmtId="0" fontId="17" fillId="10" borderId="2" xfId="0" applyFont="1" applyFill="1" applyBorder="1" applyAlignment="1">
      <alignment horizontal="left" vertical="center"/>
    </xf>
    <xf numFmtId="167" fontId="17" fillId="10" borderId="2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12" fillId="0" borderId="0" xfId="0" applyFont="1"/>
    <xf numFmtId="164" fontId="4" fillId="3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167" fontId="30" fillId="3" borderId="0" xfId="0" applyNumberFormat="1" applyFont="1" applyFill="1" applyAlignment="1">
      <alignment horizontal="center"/>
    </xf>
    <xf numFmtId="0" fontId="18" fillId="0" borderId="2" xfId="0" applyFont="1" applyBorder="1" applyAlignment="1">
      <alignment horizontal="left" vertical="center"/>
    </xf>
    <xf numFmtId="0" fontId="18" fillId="10" borderId="2" xfId="0" applyFont="1" applyFill="1" applyBorder="1" applyAlignment="1">
      <alignment horizontal="left" vertical="center"/>
    </xf>
    <xf numFmtId="0" fontId="19" fillId="2" borderId="0" xfId="0" applyFont="1" applyFill="1"/>
    <xf numFmtId="0" fontId="19" fillId="2" borderId="0" xfId="0" applyFont="1" applyFill="1" applyAlignment="1">
      <alignment horizontal="center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wrapText="1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2" fillId="0" borderId="0" xfId="0" applyFont="1" applyAlignment="1">
      <alignment vertical="top" wrapText="1"/>
    </xf>
    <xf numFmtId="0" fontId="19" fillId="3" borderId="0" xfId="0" applyFont="1" applyFill="1" applyAlignment="1">
      <alignment vertical="center"/>
    </xf>
    <xf numFmtId="0" fontId="19" fillId="7" borderId="0" xfId="0" applyFont="1" applyFill="1" applyAlignment="1">
      <alignment vertical="center"/>
    </xf>
    <xf numFmtId="14" fontId="3" fillId="11" borderId="3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/>
    <xf numFmtId="0" fontId="26" fillId="0" borderId="0" xfId="0" applyFont="1"/>
    <xf numFmtId="0" fontId="14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18" fontId="3" fillId="11" borderId="3" xfId="0" applyNumberFormat="1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2" fillId="0" borderId="0" xfId="0" applyFont="1"/>
    <xf numFmtId="0" fontId="28" fillId="2" borderId="0" xfId="0" applyFont="1" applyFill="1" applyAlignment="1">
      <alignment vertical="center"/>
    </xf>
    <xf numFmtId="0" fontId="29" fillId="0" borderId="0" xfId="0" applyFont="1"/>
  </cellXfs>
  <cellStyles count="1">
    <cellStyle name="Normal" xfId="0" builtinId="0"/>
  </cellStyles>
  <dxfs count="10">
    <dxf>
      <font>
        <b/>
        <color rgb="FFC0392B"/>
      </font>
      <fill>
        <patternFill>
          <bgColor rgb="FFF8CBAD"/>
        </patternFill>
      </fill>
    </dxf>
    <dxf>
      <fill>
        <patternFill>
          <bgColor rgb="FFF2F2F2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EDEDED"/>
        </patternFill>
      </fill>
    </dxf>
    <dxf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B7791F"/>
      <rgbColor rgb="FF800080"/>
      <rgbColor rgb="FF2E7D32"/>
      <rgbColor rgb="FFFFC7CE"/>
      <rgbColor rgb="FF808080"/>
      <rgbColor rgb="FF9999FF"/>
      <rgbColor rgb="FF7030A0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2F2F2"/>
      <rgbColor rgb="FFC6EFCE"/>
      <rgbColor rgb="FFEDEDED"/>
      <rgbColor rgb="FF99CCFF"/>
      <rgbColor rgb="FFFF99CC"/>
      <rgbColor rgb="FFCC99FF"/>
      <rgbColor rgb="FFF8CBAD"/>
      <rgbColor rgb="FF2E75B6"/>
      <rgbColor rgb="FF33CCCC"/>
      <rgbColor rgb="FF9BBB59"/>
      <rgbColor rgb="FFFFCC00"/>
      <rgbColor rgb="FFFF9900"/>
      <rgbColor rgb="FFFF6600"/>
      <rgbColor rgb="FF8064A2"/>
      <rgbColor rgb="FF878787"/>
      <rgbColor rgb="FF1F3864"/>
      <rgbColor rgb="FF0F9D58"/>
      <rgbColor rgb="FF003300"/>
      <rgbColor rgb="FF333300"/>
      <rgbColor rgb="FFC0392B"/>
      <rgbColor rgb="FFC0504D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Planned Classes by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Summary'!$B$3</c:f>
              <c:strCache>
                <c:ptCount val="1"/>
                <c:pt idx="0">
                  <c:v>Physical
Planned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Summary'!$A$4:$A$25</c:f>
              <c:numCache>
                <c:formatCode>mmm\-yyyy</c:formatCode>
                <c:ptCount val="22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</c:numCache>
            </c:numRef>
          </c:cat>
          <c:val>
            <c:numRef>
              <c:f>'Monthly Summary'!$B$4:$B$25</c:f>
              <c:numCache>
                <c:formatCode>General</c:formatCode>
                <c:ptCount val="2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40</c:v>
                </c:pt>
                <c:pt idx="5">
                  <c:v>128</c:v>
                </c:pt>
                <c:pt idx="6">
                  <c:v>192</c:v>
                </c:pt>
                <c:pt idx="7">
                  <c:v>209</c:v>
                </c:pt>
                <c:pt idx="8">
                  <c:v>392</c:v>
                </c:pt>
                <c:pt idx="9">
                  <c:v>415</c:v>
                </c:pt>
                <c:pt idx="10">
                  <c:v>349</c:v>
                </c:pt>
                <c:pt idx="11">
                  <c:v>325</c:v>
                </c:pt>
                <c:pt idx="12">
                  <c:v>193</c:v>
                </c:pt>
                <c:pt idx="13">
                  <c:v>92</c:v>
                </c:pt>
                <c:pt idx="14">
                  <c:v>39</c:v>
                </c:pt>
                <c:pt idx="15">
                  <c:v>36</c:v>
                </c:pt>
                <c:pt idx="16">
                  <c:v>42</c:v>
                </c:pt>
                <c:pt idx="17">
                  <c:v>39</c:v>
                </c:pt>
                <c:pt idx="18">
                  <c:v>38</c:v>
                </c:pt>
                <c:pt idx="19">
                  <c:v>40</c:v>
                </c:pt>
                <c:pt idx="20">
                  <c:v>39</c:v>
                </c:pt>
                <c:pt idx="2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A-44CE-A6D4-32EA67334A5C}"/>
            </c:ext>
          </c:extLst>
        </c:ser>
        <c:ser>
          <c:idx val="1"/>
          <c:order val="1"/>
          <c:tx>
            <c:strRef>
              <c:f>'Monthly Summary'!$C$3</c:f>
              <c:strCache>
                <c:ptCount val="1"/>
                <c:pt idx="0">
                  <c:v>Hybrid
Planned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Summary'!$A$4:$A$25</c:f>
              <c:numCache>
                <c:formatCode>mmm\-yyyy</c:formatCode>
                <c:ptCount val="22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</c:numCache>
            </c:numRef>
          </c:cat>
          <c:val>
            <c:numRef>
              <c:f>'Monthly Summary'!$C$4:$C$25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25</c:v>
                </c:pt>
                <c:pt idx="6">
                  <c:v>52</c:v>
                </c:pt>
                <c:pt idx="7">
                  <c:v>82</c:v>
                </c:pt>
                <c:pt idx="8">
                  <c:v>96</c:v>
                </c:pt>
                <c:pt idx="9">
                  <c:v>84</c:v>
                </c:pt>
                <c:pt idx="10">
                  <c:v>44</c:v>
                </c:pt>
                <c:pt idx="11">
                  <c:v>12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EA-44CE-A6D4-32EA67334A5C}"/>
            </c:ext>
          </c:extLst>
        </c:ser>
        <c:ser>
          <c:idx val="2"/>
          <c:order val="2"/>
          <c:tx>
            <c:strRef>
              <c:f>'Monthly Summary'!$D$3</c:f>
              <c:strCache>
                <c:ptCount val="1"/>
                <c:pt idx="0">
                  <c:v>Online
Planned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Summary'!$A$4:$A$25</c:f>
              <c:numCache>
                <c:formatCode>mmm\-yyyy</c:formatCode>
                <c:ptCount val="22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</c:numCache>
            </c:numRef>
          </c:cat>
          <c:val>
            <c:numRef>
              <c:f>'Monthly Summary'!$D$4:$D$25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8</c:v>
                </c:pt>
                <c:pt idx="6">
                  <c:v>10</c:v>
                </c:pt>
                <c:pt idx="7">
                  <c:v>8</c:v>
                </c:pt>
                <c:pt idx="8">
                  <c:v>17</c:v>
                </c:pt>
                <c:pt idx="9">
                  <c:v>25</c:v>
                </c:pt>
                <c:pt idx="10">
                  <c:v>18</c:v>
                </c:pt>
                <c:pt idx="11">
                  <c:v>20</c:v>
                </c:pt>
                <c:pt idx="12">
                  <c:v>8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EA-44CE-A6D4-32EA6733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07999"/>
        <c:axId val="1726717"/>
      </c:barChart>
      <c:dateAx>
        <c:axId val="6707999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S"/>
          </a:p>
        </c:txPr>
        <c:crossAx val="1726717"/>
        <c:crosses val="autoZero"/>
        <c:auto val="1"/>
        <c:lblOffset val="100"/>
        <c:baseTimeUnit val="months"/>
      </c:dateAx>
      <c:valAx>
        <c:axId val="17267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Classes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S"/>
          </a:p>
        </c:txPr>
        <c:crossAx val="67079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A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Classes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'Completed vs Planned'!$F$2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0B8-47BF-AC45-085EEF61436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0B8-47BF-AC45-085EEF61436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0B8-47BF-AC45-085EEF61436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0B8-47BF-AC45-085EEF61436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A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B8-47BF-AC45-085EEF61436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A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B8-47BF-AC45-085EEF61436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A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B8-47BF-AC45-085EEF61436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A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0B8-47BF-AC45-085EEF6143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'Completed vs Planned'!$A$3:$A$6</c:f>
              <c:strCache>
                <c:ptCount val="4"/>
                <c:pt idx="0">
                  <c:v>Completed</c:v>
                </c:pt>
                <c:pt idx="1">
                  <c:v>Ongoing</c:v>
                </c:pt>
                <c:pt idx="2">
                  <c:v>Upcoming</c:v>
                </c:pt>
                <c:pt idx="3">
                  <c:v>Unknown (missing duration data)</c:v>
                </c:pt>
              </c:strCache>
            </c:strRef>
          </c:cat>
          <c:val>
            <c:numRef>
              <c:f>'Completed vs Planned'!$F$3:$F$6</c:f>
              <c:numCache>
                <c:formatCode>General</c:formatCode>
                <c:ptCount val="4"/>
                <c:pt idx="0">
                  <c:v>34</c:v>
                </c:pt>
                <c:pt idx="1">
                  <c:v>104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B8-47BF-AC45-085EEF614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A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Lecture Halls Used vs Free — This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Dashboard!$B$36</c:f>
              <c:strCache>
                <c:ptCount val="1"/>
                <c:pt idx="0">
                  <c:v>Halls Used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Dashboard!$A$37:$A$39</c:f>
              <c:strCache>
                <c:ptCount val="3"/>
                <c:pt idx="0">
                  <c:v>Physical</c:v>
                </c:pt>
                <c:pt idx="1">
                  <c:v>Hybrid</c:v>
                </c:pt>
                <c:pt idx="2">
                  <c:v>Online</c:v>
                </c:pt>
              </c:strCache>
            </c:strRef>
          </c:cat>
          <c:val>
            <c:numRef>
              <c:f>Dashboard!$B$37:$B$39</c:f>
              <c:numCache>
                <c:formatCode>General</c:formatCode>
                <c:ptCount val="3"/>
                <c:pt idx="0">
                  <c:v>19</c:v>
                </c:pt>
                <c:pt idx="1">
                  <c:v>9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E-45D1-9036-9AC6259458B4}"/>
            </c:ext>
          </c:extLst>
        </c:ser>
        <c:ser>
          <c:idx val="1"/>
          <c:order val="1"/>
          <c:tx>
            <c:strRef>
              <c:f>Dashboard!$C$36</c:f>
              <c:strCache>
                <c:ptCount val="1"/>
                <c:pt idx="0">
                  <c:v>Halls Free (Gap)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Dashboard!$A$37:$A$39</c:f>
              <c:strCache>
                <c:ptCount val="3"/>
                <c:pt idx="0">
                  <c:v>Physical</c:v>
                </c:pt>
                <c:pt idx="1">
                  <c:v>Hybrid</c:v>
                </c:pt>
                <c:pt idx="2">
                  <c:v>Online</c:v>
                </c:pt>
              </c:strCache>
            </c:strRef>
          </c:cat>
          <c:val>
            <c:numRef>
              <c:f>Dashboard!$C$37:$C$39</c:f>
              <c:numCache>
                <c:formatCode>General</c:formatCode>
                <c:ptCount val="3"/>
                <c:pt idx="0">
                  <c:v>7</c:v>
                </c:pt>
                <c:pt idx="1">
                  <c:v>17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AE-45D1-9036-9AC625945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0587"/>
        <c:axId val="91864285"/>
      </c:barChart>
      <c:catAx>
        <c:axId val="100205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S"/>
          </a:p>
        </c:txPr>
        <c:crossAx val="91864285"/>
        <c:crosses val="autoZero"/>
        <c:auto val="1"/>
        <c:lblAlgn val="ctr"/>
        <c:lblOffset val="100"/>
        <c:noMultiLvlLbl val="0"/>
      </c:catAx>
      <c:valAx>
        <c:axId val="91864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Halls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S"/>
          </a:p>
        </c:txPr>
        <c:crossAx val="100205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A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Planned Classes per Month by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Summary'!$B$3</c:f>
              <c:strCache>
                <c:ptCount val="1"/>
                <c:pt idx="0">
                  <c:v>Physical
Planned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Summary'!$A$4:$A$25</c:f>
              <c:numCache>
                <c:formatCode>mmm\-yyyy</c:formatCode>
                <c:ptCount val="22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</c:numCache>
            </c:numRef>
          </c:cat>
          <c:val>
            <c:numRef>
              <c:f>'Monthly Summary'!$B$4:$B$25</c:f>
              <c:numCache>
                <c:formatCode>General</c:formatCode>
                <c:ptCount val="2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40</c:v>
                </c:pt>
                <c:pt idx="5">
                  <c:v>128</c:v>
                </c:pt>
                <c:pt idx="6">
                  <c:v>192</c:v>
                </c:pt>
                <c:pt idx="7">
                  <c:v>209</c:v>
                </c:pt>
                <c:pt idx="8">
                  <c:v>392</c:v>
                </c:pt>
                <c:pt idx="9">
                  <c:v>415</c:v>
                </c:pt>
                <c:pt idx="10">
                  <c:v>349</c:v>
                </c:pt>
                <c:pt idx="11">
                  <c:v>325</c:v>
                </c:pt>
                <c:pt idx="12">
                  <c:v>193</c:v>
                </c:pt>
                <c:pt idx="13">
                  <c:v>92</c:v>
                </c:pt>
                <c:pt idx="14">
                  <c:v>39</c:v>
                </c:pt>
                <c:pt idx="15">
                  <c:v>36</c:v>
                </c:pt>
                <c:pt idx="16">
                  <c:v>42</c:v>
                </c:pt>
                <c:pt idx="17">
                  <c:v>39</c:v>
                </c:pt>
                <c:pt idx="18">
                  <c:v>38</c:v>
                </c:pt>
                <c:pt idx="19">
                  <c:v>40</c:v>
                </c:pt>
                <c:pt idx="20">
                  <c:v>39</c:v>
                </c:pt>
                <c:pt idx="2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3-4740-9167-0AA3359C8B0D}"/>
            </c:ext>
          </c:extLst>
        </c:ser>
        <c:ser>
          <c:idx val="1"/>
          <c:order val="1"/>
          <c:tx>
            <c:strRef>
              <c:f>'Monthly Summary'!$C$3</c:f>
              <c:strCache>
                <c:ptCount val="1"/>
                <c:pt idx="0">
                  <c:v>Hybrid
Planned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Summary'!$A$4:$A$25</c:f>
              <c:numCache>
                <c:formatCode>mmm\-yyyy</c:formatCode>
                <c:ptCount val="22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</c:numCache>
            </c:numRef>
          </c:cat>
          <c:val>
            <c:numRef>
              <c:f>'Monthly Summary'!$C$4:$C$25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25</c:v>
                </c:pt>
                <c:pt idx="6">
                  <c:v>52</c:v>
                </c:pt>
                <c:pt idx="7">
                  <c:v>82</c:v>
                </c:pt>
                <c:pt idx="8">
                  <c:v>96</c:v>
                </c:pt>
                <c:pt idx="9">
                  <c:v>84</c:v>
                </c:pt>
                <c:pt idx="10">
                  <c:v>44</c:v>
                </c:pt>
                <c:pt idx="11">
                  <c:v>12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B3-4740-9167-0AA3359C8B0D}"/>
            </c:ext>
          </c:extLst>
        </c:ser>
        <c:ser>
          <c:idx val="2"/>
          <c:order val="2"/>
          <c:tx>
            <c:strRef>
              <c:f>'Monthly Summary'!$D$3</c:f>
              <c:strCache>
                <c:ptCount val="1"/>
                <c:pt idx="0">
                  <c:v>Online
Planned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Summary'!$A$4:$A$25</c:f>
              <c:numCache>
                <c:formatCode>mmm\-yyyy</c:formatCode>
                <c:ptCount val="22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</c:numCache>
            </c:numRef>
          </c:cat>
          <c:val>
            <c:numRef>
              <c:f>'Monthly Summary'!$D$4:$D$25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8</c:v>
                </c:pt>
                <c:pt idx="6">
                  <c:v>10</c:v>
                </c:pt>
                <c:pt idx="7">
                  <c:v>8</c:v>
                </c:pt>
                <c:pt idx="8">
                  <c:v>17</c:v>
                </c:pt>
                <c:pt idx="9">
                  <c:v>25</c:v>
                </c:pt>
                <c:pt idx="10">
                  <c:v>18</c:v>
                </c:pt>
                <c:pt idx="11">
                  <c:v>20</c:v>
                </c:pt>
                <c:pt idx="12">
                  <c:v>8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B3-4740-9167-0AA3359C8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581563"/>
        <c:axId val="58060981"/>
      </c:barChart>
      <c:dateAx>
        <c:axId val="595815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S"/>
          </a:p>
        </c:txPr>
        <c:crossAx val="58060981"/>
        <c:crosses val="autoZero"/>
        <c:auto val="1"/>
        <c:lblOffset val="100"/>
        <c:baseTimeUnit val="months"/>
      </c:dateAx>
      <c:valAx>
        <c:axId val="58060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Classes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S"/>
          </a:p>
        </c:txPr>
        <c:crossAx val="595815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A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Classes by Status (Completed / Ongoing / Upcoming / Unknown)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'Completed vs Planned'!$F$2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DE2-4408-9050-4086C2AF841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DE2-4408-9050-4086C2AF841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DE2-4408-9050-4086C2AF841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DE2-4408-9050-4086C2AF841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A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E2-4408-9050-4086C2AF841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A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E2-4408-9050-4086C2AF841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A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E2-4408-9050-4086C2AF841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A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E2-4408-9050-4086C2AF84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'Completed vs Planned'!$A$3:$A$6</c:f>
              <c:strCache>
                <c:ptCount val="4"/>
                <c:pt idx="0">
                  <c:v>Completed</c:v>
                </c:pt>
                <c:pt idx="1">
                  <c:v>Ongoing</c:v>
                </c:pt>
                <c:pt idx="2">
                  <c:v>Upcoming</c:v>
                </c:pt>
                <c:pt idx="3">
                  <c:v>Unknown (missing duration data)</c:v>
                </c:pt>
              </c:strCache>
            </c:strRef>
          </c:cat>
          <c:val>
            <c:numRef>
              <c:f>'Completed vs Planned'!$F$3:$F$6</c:f>
              <c:numCache>
                <c:formatCode>General</c:formatCode>
                <c:ptCount val="4"/>
                <c:pt idx="0">
                  <c:v>34</c:v>
                </c:pt>
                <c:pt idx="1">
                  <c:v>104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E2-4408-9050-4086C2AF8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A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9</xdr:col>
      <xdr:colOff>306000</xdr:colOff>
      <xdr:row>31</xdr:row>
      <xdr:rowOff>169560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619125</xdr:colOff>
      <xdr:row>11</xdr:row>
      <xdr:rowOff>333376</xdr:rowOff>
    </xdr:from>
    <xdr:to>
      <xdr:col>18</xdr:col>
      <xdr:colOff>325158</xdr:colOff>
      <xdr:row>30</xdr:row>
      <xdr:rowOff>145748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6</xdr:col>
      <xdr:colOff>683640</xdr:colOff>
      <xdr:row>58</xdr:row>
      <xdr:rowOff>169560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176040</xdr:rowOff>
    </xdr:from>
    <xdr:to>
      <xdr:col>10</xdr:col>
      <xdr:colOff>578520</xdr:colOff>
      <xdr:row>46</xdr:row>
      <xdr:rowOff>154800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175680</xdr:rowOff>
    </xdr:from>
    <xdr:to>
      <xdr:col>4</xdr:col>
      <xdr:colOff>597960</xdr:colOff>
      <xdr:row>25</xdr:row>
      <xdr:rowOff>175680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SessionsBrowse" displayName="AllSessionsBrowse" ref="A46:H209" totalsRowShown="0">
  <autoFilter ref="A46:H209" xr:uid="{00000000-0009-0000-0100-000001000000}"/>
  <tableColumns count="8">
    <tableColumn id="1" xr3:uid="{00000000-0010-0000-0000-000001000000}" name="Weekday"/>
    <tableColumn id="2" xr3:uid="{00000000-0010-0000-0000-000002000000}" name="Start Time"/>
    <tableColumn id="3" xr3:uid="{00000000-0010-0000-0000-000003000000}" name="End Time"/>
    <tableColumn id="4" xr3:uid="{00000000-0010-0000-0000-000004000000}" name="Lecture Hall"/>
    <tableColumn id="5" xr3:uid="{00000000-0010-0000-0000-000005000000}" name="Room Type"/>
    <tableColumn id="6" xr3:uid="{00000000-0010-0000-0000-000006000000}" name="Program / Batch"/>
    <tableColumn id="7" xr3:uid="{00000000-0010-0000-0000-000007000000}" name="Mode"/>
    <tableColumn id="8" xr3:uid="{00000000-0010-0000-0000-000008000000}" name="Class 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allSearchResults" displayName="HallSearchResults" ref="A13:F41" totalsRowShown="0">
  <autoFilter ref="A13:F41" xr:uid="{00000000-0009-0000-0100-000002000000}"/>
  <tableColumns count="6">
    <tableColumn id="1" xr3:uid="{00000000-0010-0000-0100-000001000000}" name="Lecture Hall"/>
    <tableColumn id="2" xr3:uid="{00000000-0010-0000-0100-000002000000}" name="Room Type"/>
    <tableColumn id="3" xr3:uid="{00000000-0010-0000-0100-000003000000}" name="Status"/>
    <tableColumn id="4" xr3:uid="{00000000-0010-0000-0100-000004000000}" name="Occupied By (Program / Batch)"/>
    <tableColumn id="5" xr3:uid="{00000000-0010-0000-0100-000005000000}" name="Mode"/>
    <tableColumn id="6" xr3:uid="{00000000-0010-0000-0100-000006000000}" name="Occupied Time Slo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L39"/>
  <sheetViews>
    <sheetView showGridLines="0" zoomScale="80" zoomScaleNormal="80" workbookViewId="0">
      <selection activeCell="V26" sqref="V26"/>
    </sheetView>
  </sheetViews>
  <sheetFormatPr defaultColWidth="8.7109375" defaultRowHeight="15" x14ac:dyDescent="0.25"/>
  <cols>
    <col min="1" max="12" width="12" customWidth="1"/>
  </cols>
  <sheetData>
    <row r="1" spans="1:12" ht="33.75" customHeight="1" x14ac:dyDescent="0.2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18" customHeigh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4" spans="1:12" x14ac:dyDescent="0.25">
      <c r="A4" s="47" t="s">
        <v>1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2" ht="42.75" customHeight="1" x14ac:dyDescent="0.25">
      <c r="A5" s="56" t="s">
        <v>2</v>
      </c>
      <c r="B5" s="56"/>
      <c r="C5" s="48" t="s">
        <v>3</v>
      </c>
      <c r="D5" s="48"/>
      <c r="E5" s="49" t="s">
        <v>4</v>
      </c>
      <c r="F5" s="49"/>
      <c r="G5" s="50" t="s">
        <v>5</v>
      </c>
      <c r="H5" s="50"/>
      <c r="I5" s="57" t="s">
        <v>6</v>
      </c>
      <c r="J5" s="57"/>
      <c r="K5" s="58" t="s">
        <v>7</v>
      </c>
      <c r="L5" s="58"/>
    </row>
    <row r="6" spans="1:12" ht="36" customHeight="1" x14ac:dyDescent="0.25">
      <c r="A6" s="52">
        <f>'Class Schedule Analysis'!A165-'Class Schedule Analysis'!A3+1</f>
        <v>163</v>
      </c>
      <c r="B6" s="52"/>
      <c r="C6" s="43">
        <f>COUNTIF('Class Schedule Analysis'!$M$3:$M$165,"Physical")</f>
        <v>124</v>
      </c>
      <c r="D6" s="43"/>
      <c r="E6" s="44">
        <f>COUNTIF('Class Schedule Analysis'!$M$3:$M$165,"Hybrid")</f>
        <v>29</v>
      </c>
      <c r="F6" s="44"/>
      <c r="G6" s="45">
        <f>COUNTIF('Class Schedule Analysis'!$M$3:$M$165,"Online")</f>
        <v>8</v>
      </c>
      <c r="H6" s="45"/>
      <c r="I6" s="53">
        <f ca="1">COUNTIF('Class Schedule Analysis'!$S$3:$S$165,"Completed")</f>
        <v>34</v>
      </c>
      <c r="J6" s="53"/>
      <c r="K6" s="46">
        <f ca="1">COUNTIF('Class Schedule Analysis'!$S$3:$S$165,"Upcoming")</f>
        <v>0</v>
      </c>
      <c r="L6" s="46"/>
    </row>
    <row r="8" spans="1:12" x14ac:dyDescent="0.25">
      <c r="A8" s="47" t="s">
        <v>8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</row>
    <row r="9" spans="1:12" ht="33" customHeight="1" x14ac:dyDescent="0.25">
      <c r="A9" s="48" t="s">
        <v>9</v>
      </c>
      <c r="B9" s="48"/>
      <c r="C9" s="49" t="s">
        <v>10</v>
      </c>
      <c r="D9" s="49"/>
      <c r="E9" s="50" t="s">
        <v>11</v>
      </c>
      <c r="F9" s="50"/>
      <c r="G9" s="51" t="s">
        <v>12</v>
      </c>
      <c r="H9" s="51"/>
      <c r="I9" s="51" t="s">
        <v>13</v>
      </c>
      <c r="J9" s="51"/>
      <c r="K9" s="51" t="s">
        <v>14</v>
      </c>
      <c r="L9" s="51"/>
    </row>
    <row r="10" spans="1:12" ht="36" customHeight="1" x14ac:dyDescent="0.25">
      <c r="A10" s="43">
        <f ca="1">INDEX('Monthly Summary'!$B$4:$B$25,MATCH(DATE(YEAR(TODAY()),MONTH(TODAY()),1),'Monthly Summary'!$A$4:$A$25,0))</f>
        <v>349</v>
      </c>
      <c r="B10" s="43"/>
      <c r="C10" s="44">
        <f ca="1">INDEX('Monthly Summary'!$C$4:$C$25,MATCH(DATE(YEAR(TODAY()),MONTH(TODAY()),1),'Monthly Summary'!$A$4:$A$25,0))</f>
        <v>44</v>
      </c>
      <c r="D10" s="44"/>
      <c r="E10" s="45">
        <f ca="1">INDEX('Monthly Summary'!$D$4:$D$25,MATCH(DATE(YEAR(TODAY()),MONTH(TODAY()),1),'Monthly Summary'!$A$4:$A$25,0))</f>
        <v>18</v>
      </c>
      <c r="F10" s="45"/>
      <c r="G10" s="41">
        <f ca="1">INDEX('Monthly Summary'!$F$4:$F$25,MATCH(DATE(YEAR(TODAY()),MONTH(TODAY()),1),'Monthly Summary'!$A$4:$A$25,0))</f>
        <v>7</v>
      </c>
      <c r="H10" s="41"/>
      <c r="I10" s="41">
        <f ca="1">INDEX('Monthly Summary'!$G$4:$G$25,MATCH(DATE(YEAR(TODAY()),MONTH(TODAY()),1),'Monthly Summary'!$A$4:$A$25,0))</f>
        <v>17</v>
      </c>
      <c r="J10" s="41"/>
      <c r="K10" s="41">
        <f ca="1">INDEX('Monthly Summary'!$H$4:$H$25,MATCH(DATE(YEAR(TODAY()),MONTH(TODAY()),1),'Monthly Summary'!$A$4:$A$25,0))</f>
        <v>22</v>
      </c>
      <c r="L10" s="41"/>
    </row>
    <row r="12" spans="1:12" ht="27.75" customHeight="1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</row>
    <row r="36" spans="1:3" x14ac:dyDescent="0.25">
      <c r="A36" s="1" t="s">
        <v>15</v>
      </c>
      <c r="B36" s="1" t="s">
        <v>16</v>
      </c>
      <c r="C36" s="1" t="s">
        <v>17</v>
      </c>
    </row>
    <row r="37" spans="1:3" x14ac:dyDescent="0.25">
      <c r="A37" t="s">
        <v>18</v>
      </c>
      <c r="B37">
        <f ca="1">26-C37</f>
        <v>19</v>
      </c>
      <c r="C37">
        <f ca="1">G10</f>
        <v>7</v>
      </c>
    </row>
    <row r="38" spans="1:3" x14ac:dyDescent="0.25">
      <c r="A38" t="s">
        <v>19</v>
      </c>
      <c r="B38">
        <f ca="1">26-C38</f>
        <v>9</v>
      </c>
      <c r="C38">
        <f ca="1">I10</f>
        <v>17</v>
      </c>
    </row>
    <row r="39" spans="1:3" x14ac:dyDescent="0.25">
      <c r="A39" t="s">
        <v>20</v>
      </c>
      <c r="B39">
        <f ca="1">26-C39</f>
        <v>4</v>
      </c>
      <c r="C39">
        <f ca="1">K10</f>
        <v>22</v>
      </c>
    </row>
  </sheetData>
  <mergeCells count="29">
    <mergeCell ref="A1:L1"/>
    <mergeCell ref="A2:L2"/>
    <mergeCell ref="A4:L4"/>
    <mergeCell ref="A5:B5"/>
    <mergeCell ref="C5:D5"/>
    <mergeCell ref="E5:F5"/>
    <mergeCell ref="G5:H5"/>
    <mergeCell ref="I5:J5"/>
    <mergeCell ref="K5:L5"/>
    <mergeCell ref="K6:L6"/>
    <mergeCell ref="A8:L8"/>
    <mergeCell ref="A9:B9"/>
    <mergeCell ref="C9:D9"/>
    <mergeCell ref="E9:F9"/>
    <mergeCell ref="G9:H9"/>
    <mergeCell ref="I9:J9"/>
    <mergeCell ref="K9:L9"/>
    <mergeCell ref="A6:B6"/>
    <mergeCell ref="C6:D6"/>
    <mergeCell ref="E6:F6"/>
    <mergeCell ref="G6:H6"/>
    <mergeCell ref="I6:J6"/>
    <mergeCell ref="K10:L10"/>
    <mergeCell ref="A12:L12"/>
    <mergeCell ref="A10:B10"/>
    <mergeCell ref="C10:D10"/>
    <mergeCell ref="E10:F10"/>
    <mergeCell ref="G10:H10"/>
    <mergeCell ref="I10:J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/>
  <dimension ref="A1:H26"/>
  <sheetViews>
    <sheetView showGridLines="0" zoomScaleNormal="100" workbookViewId="0">
      <pane ySplit="3" topLeftCell="A4" activePane="bottomLeft" state="frozen"/>
      <selection pane="bottomLeft" activeCell="B14" sqref="B14"/>
    </sheetView>
  </sheetViews>
  <sheetFormatPr defaultColWidth="8.7109375" defaultRowHeight="15" x14ac:dyDescent="0.25"/>
  <cols>
    <col min="1" max="1" width="14" customWidth="1"/>
    <col min="2" max="5" width="11" customWidth="1"/>
    <col min="6" max="8" width="13" customWidth="1"/>
  </cols>
  <sheetData>
    <row r="1" spans="1:8" ht="16.5" customHeight="1" x14ac:dyDescent="0.25">
      <c r="A1" s="59" t="s">
        <v>21</v>
      </c>
      <c r="B1" s="59"/>
      <c r="C1" s="59"/>
      <c r="D1" s="59"/>
      <c r="E1" s="59"/>
      <c r="F1" s="59"/>
      <c r="G1" s="59"/>
      <c r="H1" s="59"/>
    </row>
    <row r="2" spans="1:8" ht="39.75" customHeight="1" x14ac:dyDescent="0.25">
      <c r="A2" s="60"/>
      <c r="B2" s="60"/>
      <c r="C2" s="60"/>
      <c r="D2" s="60"/>
      <c r="E2" s="60"/>
      <c r="F2" s="60"/>
      <c r="G2" s="60"/>
      <c r="H2" s="60"/>
    </row>
    <row r="3" spans="1:8" ht="30" customHeight="1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</row>
    <row r="4" spans="1:8" x14ac:dyDescent="0.25">
      <c r="A4" s="3">
        <v>45962</v>
      </c>
      <c r="B4" s="4">
        <f>SUMPRODUCT(('Monthly Occurrences (Support)'!$D$4:$D$166="Physical")*('Monthly Occurrences (Support)'!$G$4:$G$166))</f>
        <v>4</v>
      </c>
      <c r="C4" s="4">
        <f>SUMPRODUCT(('Monthly Occurrences (Support)'!$D$4:$D$166="Hybrid")*('Monthly Occurrences (Support)'!$G$4:$G$166))</f>
        <v>0</v>
      </c>
      <c r="D4" s="4">
        <f>SUMPRODUCT(('Monthly Occurrences (Support)'!$D$4:$D$166="Online")*('Monthly Occurrences (Support)'!$G$4:$G$166))</f>
        <v>0</v>
      </c>
      <c r="E4" s="5">
        <f t="shared" ref="E4:E25" si="0">B4+C4+D4</f>
        <v>4</v>
      </c>
      <c r="F4" s="4">
        <f>'Lecture Hall Availability'!B33</f>
        <v>25</v>
      </c>
      <c r="G4" s="4">
        <f>'Lecture Hall Availability'!B64</f>
        <v>26</v>
      </c>
      <c r="H4" s="4">
        <f>'Lecture Hall Availability'!B95</f>
        <v>26</v>
      </c>
    </row>
    <row r="5" spans="1:8" x14ac:dyDescent="0.25">
      <c r="A5" s="6">
        <v>45992</v>
      </c>
      <c r="B5" s="7">
        <f>SUMPRODUCT(('Monthly Occurrences (Support)'!$D$4:$D$166="Physical")*('Monthly Occurrences (Support)'!$H$4:$H$166))</f>
        <v>4</v>
      </c>
      <c r="C5" s="7">
        <f>SUMPRODUCT(('Monthly Occurrences (Support)'!$D$4:$D$166="Hybrid")*('Monthly Occurrences (Support)'!$H$4:$H$166))</f>
        <v>0</v>
      </c>
      <c r="D5" s="7">
        <f>SUMPRODUCT(('Monthly Occurrences (Support)'!$D$4:$D$166="Online")*('Monthly Occurrences (Support)'!$H$4:$H$166))</f>
        <v>0</v>
      </c>
      <c r="E5" s="8">
        <f t="shared" si="0"/>
        <v>4</v>
      </c>
      <c r="F5" s="7">
        <f>'Lecture Hall Availability'!C33</f>
        <v>25</v>
      </c>
      <c r="G5" s="7">
        <f>'Lecture Hall Availability'!C64</f>
        <v>26</v>
      </c>
      <c r="H5" s="7">
        <f>'Lecture Hall Availability'!C95</f>
        <v>26</v>
      </c>
    </row>
    <row r="6" spans="1:8" x14ac:dyDescent="0.25">
      <c r="A6" s="3">
        <v>46023</v>
      </c>
      <c r="B6" s="4">
        <f>SUMPRODUCT(('Monthly Occurrences (Support)'!$D$4:$D$166="Physical")*('Monthly Occurrences (Support)'!$I$4:$I$166))</f>
        <v>5</v>
      </c>
      <c r="C6" s="4">
        <f>SUMPRODUCT(('Monthly Occurrences (Support)'!$D$4:$D$166="Hybrid")*('Monthly Occurrences (Support)'!$I$4:$I$166))</f>
        <v>0</v>
      </c>
      <c r="D6" s="4">
        <f>SUMPRODUCT(('Monthly Occurrences (Support)'!$D$4:$D$166="Online")*('Monthly Occurrences (Support)'!$I$4:$I$166))</f>
        <v>0</v>
      </c>
      <c r="E6" s="5">
        <f t="shared" si="0"/>
        <v>5</v>
      </c>
      <c r="F6" s="4">
        <f>'Lecture Hall Availability'!D33</f>
        <v>25</v>
      </c>
      <c r="G6" s="4">
        <f>'Lecture Hall Availability'!D64</f>
        <v>26</v>
      </c>
      <c r="H6" s="4">
        <f>'Lecture Hall Availability'!D95</f>
        <v>26</v>
      </c>
    </row>
    <row r="7" spans="1:8" x14ac:dyDescent="0.25">
      <c r="A7" s="6">
        <v>46054</v>
      </c>
      <c r="B7" s="7">
        <f>SUMPRODUCT(('Monthly Occurrences (Support)'!$D$4:$D$166="Physical")*('Monthly Occurrences (Support)'!$J$4:$J$166))</f>
        <v>4</v>
      </c>
      <c r="C7" s="7">
        <f>SUMPRODUCT(('Monthly Occurrences (Support)'!$D$4:$D$166="Hybrid")*('Monthly Occurrences (Support)'!$J$4:$J$166))</f>
        <v>0</v>
      </c>
      <c r="D7" s="7">
        <f>SUMPRODUCT(('Monthly Occurrences (Support)'!$D$4:$D$166="Online")*('Monthly Occurrences (Support)'!$J$4:$J$166))</f>
        <v>0</v>
      </c>
      <c r="E7" s="8">
        <f t="shared" si="0"/>
        <v>4</v>
      </c>
      <c r="F7" s="7">
        <f>'Lecture Hall Availability'!E33</f>
        <v>25</v>
      </c>
      <c r="G7" s="7">
        <f>'Lecture Hall Availability'!E64</f>
        <v>26</v>
      </c>
      <c r="H7" s="7">
        <f>'Lecture Hall Availability'!E95</f>
        <v>26</v>
      </c>
    </row>
    <row r="8" spans="1:8" x14ac:dyDescent="0.25">
      <c r="A8" s="3">
        <v>46082</v>
      </c>
      <c r="B8" s="4">
        <f>SUMPRODUCT(('Monthly Occurrences (Support)'!$D$4:$D$166="Physical")*('Monthly Occurrences (Support)'!$K$4:$K$166))</f>
        <v>40</v>
      </c>
      <c r="C8" s="4">
        <f>SUMPRODUCT(('Monthly Occurrences (Support)'!$D$4:$D$166="Hybrid")*('Monthly Occurrences (Support)'!$K$4:$K$166))</f>
        <v>6</v>
      </c>
      <c r="D8" s="4">
        <f>SUMPRODUCT(('Monthly Occurrences (Support)'!$D$4:$D$166="Online")*('Monthly Occurrences (Support)'!$K$4:$K$166))</f>
        <v>2</v>
      </c>
      <c r="E8" s="5">
        <f t="shared" si="0"/>
        <v>48</v>
      </c>
      <c r="F8" s="4">
        <f>'Lecture Hall Availability'!F33</f>
        <v>15</v>
      </c>
      <c r="G8" s="4">
        <f>'Lecture Hall Availability'!F64</f>
        <v>25</v>
      </c>
      <c r="H8" s="4">
        <f>'Lecture Hall Availability'!F95</f>
        <v>24</v>
      </c>
    </row>
    <row r="9" spans="1:8" x14ac:dyDescent="0.25">
      <c r="A9" s="6">
        <v>46113</v>
      </c>
      <c r="B9" s="7">
        <f>SUMPRODUCT(('Monthly Occurrences (Support)'!$D$4:$D$166="Physical")*('Monthly Occurrences (Support)'!$L$4:$L$166))</f>
        <v>128</v>
      </c>
      <c r="C9" s="7">
        <f>SUMPRODUCT(('Monthly Occurrences (Support)'!$D$4:$D$166="Hybrid")*('Monthly Occurrences (Support)'!$L$4:$L$166))</f>
        <v>25</v>
      </c>
      <c r="D9" s="7">
        <f>SUMPRODUCT(('Monthly Occurrences (Support)'!$D$4:$D$166="Online")*('Monthly Occurrences (Support)'!$L$4:$L$166))</f>
        <v>8</v>
      </c>
      <c r="E9" s="8">
        <f t="shared" si="0"/>
        <v>161</v>
      </c>
      <c r="F9" s="7">
        <f>'Lecture Hall Availability'!G33</f>
        <v>11</v>
      </c>
      <c r="G9" s="7">
        <f>'Lecture Hall Availability'!G64</f>
        <v>22</v>
      </c>
      <c r="H9" s="7">
        <f>'Lecture Hall Availability'!G95</f>
        <v>24</v>
      </c>
    </row>
    <row r="10" spans="1:8" x14ac:dyDescent="0.25">
      <c r="A10" s="3">
        <v>46143</v>
      </c>
      <c r="B10" s="4">
        <f>SUMPRODUCT(('Monthly Occurrences (Support)'!$D$4:$D$166="Physical")*('Monthly Occurrences (Support)'!$M$4:$M$166))</f>
        <v>192</v>
      </c>
      <c r="C10" s="4">
        <f>SUMPRODUCT(('Monthly Occurrences (Support)'!$D$4:$D$166="Hybrid")*('Monthly Occurrences (Support)'!$M$4:$M$166))</f>
        <v>52</v>
      </c>
      <c r="D10" s="4">
        <f>SUMPRODUCT(('Monthly Occurrences (Support)'!$D$4:$D$166="Online")*('Monthly Occurrences (Support)'!$M$4:$M$166))</f>
        <v>10</v>
      </c>
      <c r="E10" s="5">
        <f t="shared" si="0"/>
        <v>254</v>
      </c>
      <c r="F10" s="4">
        <f>'Lecture Hall Availability'!H33</f>
        <v>10</v>
      </c>
      <c r="G10" s="4">
        <f>'Lecture Hall Availability'!H64</f>
        <v>19</v>
      </c>
      <c r="H10" s="4">
        <f>'Lecture Hall Availability'!H95</f>
        <v>24</v>
      </c>
    </row>
    <row r="11" spans="1:8" x14ac:dyDescent="0.25">
      <c r="A11" s="6">
        <v>46174</v>
      </c>
      <c r="B11" s="7">
        <f>SUMPRODUCT(('Monthly Occurrences (Support)'!$D$4:$D$166="Physical")*('Monthly Occurrences (Support)'!$N$4:$N$166))</f>
        <v>209</v>
      </c>
      <c r="C11" s="7">
        <f>SUMPRODUCT(('Monthly Occurrences (Support)'!$D$4:$D$166="Hybrid")*('Monthly Occurrences (Support)'!$N$4:$N$166))</f>
        <v>82</v>
      </c>
      <c r="D11" s="7">
        <f>SUMPRODUCT(('Monthly Occurrences (Support)'!$D$4:$D$166="Online")*('Monthly Occurrences (Support)'!$N$4:$N$166))</f>
        <v>8</v>
      </c>
      <c r="E11" s="8">
        <f t="shared" si="0"/>
        <v>299</v>
      </c>
      <c r="F11" s="7">
        <f>'Lecture Hall Availability'!I33</f>
        <v>9</v>
      </c>
      <c r="G11" s="7">
        <f>'Lecture Hall Availability'!I64</f>
        <v>14</v>
      </c>
      <c r="H11" s="7">
        <f>'Lecture Hall Availability'!I95</f>
        <v>24</v>
      </c>
    </row>
    <row r="12" spans="1:8" x14ac:dyDescent="0.25">
      <c r="A12" s="3">
        <v>46204</v>
      </c>
      <c r="B12" s="4">
        <f>SUMPRODUCT(('Monthly Occurrences (Support)'!$D$4:$D$166="Physical")*('Monthly Occurrences (Support)'!$O$4:$O$166))</f>
        <v>392</v>
      </c>
      <c r="C12" s="4">
        <f>SUMPRODUCT(('Monthly Occurrences (Support)'!$D$4:$D$166="Hybrid")*('Monthly Occurrences (Support)'!$O$4:$O$166))</f>
        <v>96</v>
      </c>
      <c r="D12" s="4">
        <f>SUMPRODUCT(('Monthly Occurrences (Support)'!$D$4:$D$166="Online")*('Monthly Occurrences (Support)'!$O$4:$O$166))</f>
        <v>17</v>
      </c>
      <c r="E12" s="5">
        <f t="shared" si="0"/>
        <v>505</v>
      </c>
      <c r="F12" s="4">
        <f>'Lecture Hall Availability'!J33</f>
        <v>6</v>
      </c>
      <c r="G12" s="4">
        <f>'Lecture Hall Availability'!J64</f>
        <v>14</v>
      </c>
      <c r="H12" s="4">
        <f>'Lecture Hall Availability'!J95</f>
        <v>22</v>
      </c>
    </row>
    <row r="13" spans="1:8" x14ac:dyDescent="0.25">
      <c r="A13" s="6">
        <v>46235</v>
      </c>
      <c r="B13" s="7">
        <f>SUMPRODUCT(('Monthly Occurrences (Support)'!$D$4:$D$166="Physical")*('Monthly Occurrences (Support)'!$P$4:$P$166))</f>
        <v>415</v>
      </c>
      <c r="C13" s="7">
        <f>SUMPRODUCT(('Monthly Occurrences (Support)'!$D$4:$D$166="Hybrid")*('Monthly Occurrences (Support)'!$P$4:$P$166))</f>
        <v>84</v>
      </c>
      <c r="D13" s="7">
        <f>SUMPRODUCT(('Monthly Occurrences (Support)'!$D$4:$D$166="Online")*('Monthly Occurrences (Support)'!$P$4:$P$166))</f>
        <v>25</v>
      </c>
      <c r="E13" s="8">
        <f t="shared" si="0"/>
        <v>524</v>
      </c>
      <c r="F13" s="7">
        <f>'Lecture Hall Availability'!K33</f>
        <v>7</v>
      </c>
      <c r="G13" s="7">
        <f>'Lecture Hall Availability'!K64</f>
        <v>14</v>
      </c>
      <c r="H13" s="7">
        <f>'Lecture Hall Availability'!K95</f>
        <v>22</v>
      </c>
    </row>
    <row r="14" spans="1:8" x14ac:dyDescent="0.25">
      <c r="A14" s="3">
        <v>46266</v>
      </c>
      <c r="B14" s="4">
        <f>SUMPRODUCT(('Monthly Occurrences (Support)'!$D$4:$D$166="Physical")*('Monthly Occurrences (Support)'!$Q$4:$Q$166))</f>
        <v>349</v>
      </c>
      <c r="C14" s="4">
        <f>SUMPRODUCT(('Monthly Occurrences (Support)'!$D$4:$D$166="Hybrid")*('Monthly Occurrences (Support)'!$Q$4:$Q$166))</f>
        <v>44</v>
      </c>
      <c r="D14" s="4">
        <f>SUMPRODUCT(('Monthly Occurrences (Support)'!$D$4:$D$166="Online")*('Monthly Occurrences (Support)'!$Q$4:$Q$166))</f>
        <v>18</v>
      </c>
      <c r="E14" s="5">
        <f t="shared" si="0"/>
        <v>411</v>
      </c>
      <c r="F14" s="4">
        <f>'Lecture Hall Availability'!L33</f>
        <v>7</v>
      </c>
      <c r="G14" s="4">
        <f>'Lecture Hall Availability'!L64</f>
        <v>17</v>
      </c>
      <c r="H14" s="4">
        <f>'Lecture Hall Availability'!L95</f>
        <v>22</v>
      </c>
    </row>
    <row r="15" spans="1:8" x14ac:dyDescent="0.25">
      <c r="A15" s="6">
        <v>46296</v>
      </c>
      <c r="B15" s="7">
        <f>SUMPRODUCT(('Monthly Occurrences (Support)'!$D$4:$D$166="Physical")*('Monthly Occurrences (Support)'!$R$4:$R$166))</f>
        <v>325</v>
      </c>
      <c r="C15" s="7">
        <f>SUMPRODUCT(('Monthly Occurrences (Support)'!$D$4:$D$166="Hybrid")*('Monthly Occurrences (Support)'!$R$4:$R$166))</f>
        <v>12</v>
      </c>
      <c r="D15" s="7">
        <f>SUMPRODUCT(('Monthly Occurrences (Support)'!$D$4:$D$166="Online")*('Monthly Occurrences (Support)'!$R$4:$R$166))</f>
        <v>20</v>
      </c>
      <c r="E15" s="8">
        <f t="shared" si="0"/>
        <v>357</v>
      </c>
      <c r="F15" s="7">
        <f>'Lecture Hall Availability'!M33</f>
        <v>7</v>
      </c>
      <c r="G15" s="7">
        <f>'Lecture Hall Availability'!M64</f>
        <v>24</v>
      </c>
      <c r="H15" s="7">
        <f>'Lecture Hall Availability'!M95</f>
        <v>23</v>
      </c>
    </row>
    <row r="16" spans="1:8" x14ac:dyDescent="0.25">
      <c r="A16" s="3">
        <v>46327</v>
      </c>
      <c r="B16" s="4">
        <f>SUMPRODUCT(('Monthly Occurrences (Support)'!$D$4:$D$166="Physical")*('Monthly Occurrences (Support)'!$S$4:$S$166))</f>
        <v>193</v>
      </c>
      <c r="C16" s="4">
        <f>SUMPRODUCT(('Monthly Occurrences (Support)'!$D$4:$D$166="Hybrid")*('Monthly Occurrences (Support)'!$S$4:$S$166))</f>
        <v>4</v>
      </c>
      <c r="D16" s="4">
        <f>SUMPRODUCT(('Monthly Occurrences (Support)'!$D$4:$D$166="Online")*('Monthly Occurrences (Support)'!$S$4:$S$166))</f>
        <v>8</v>
      </c>
      <c r="E16" s="5">
        <f t="shared" si="0"/>
        <v>205</v>
      </c>
      <c r="F16" s="4">
        <f>'Lecture Hall Availability'!N33</f>
        <v>8</v>
      </c>
      <c r="G16" s="4">
        <f>'Lecture Hall Availability'!N64</f>
        <v>25</v>
      </c>
      <c r="H16" s="4">
        <f>'Lecture Hall Availability'!N95</f>
        <v>25</v>
      </c>
    </row>
    <row r="17" spans="1:8" x14ac:dyDescent="0.25">
      <c r="A17" s="6">
        <v>46357</v>
      </c>
      <c r="B17" s="7">
        <f>SUMPRODUCT(('Monthly Occurrences (Support)'!$D$4:$D$166="Physical")*('Monthly Occurrences (Support)'!$T$4:$T$166))</f>
        <v>92</v>
      </c>
      <c r="C17" s="7">
        <f>SUMPRODUCT(('Monthly Occurrences (Support)'!$D$4:$D$166="Hybrid")*('Monthly Occurrences (Support)'!$T$4:$T$166))</f>
        <v>1</v>
      </c>
      <c r="D17" s="7">
        <f>SUMPRODUCT(('Monthly Occurrences (Support)'!$D$4:$D$166="Online")*('Monthly Occurrences (Support)'!$T$4:$T$166))</f>
        <v>3</v>
      </c>
      <c r="E17" s="8">
        <f t="shared" si="0"/>
        <v>96</v>
      </c>
      <c r="F17" s="7">
        <f>'Lecture Hall Availability'!O33</f>
        <v>12</v>
      </c>
      <c r="G17" s="7">
        <f>'Lecture Hall Availability'!O64</f>
        <v>25</v>
      </c>
      <c r="H17" s="7">
        <f>'Lecture Hall Availability'!O95</f>
        <v>25</v>
      </c>
    </row>
    <row r="18" spans="1:8" x14ac:dyDescent="0.25">
      <c r="A18" s="3">
        <v>46388</v>
      </c>
      <c r="B18" s="4">
        <f>SUMPRODUCT(('Monthly Occurrences (Support)'!$D$4:$D$166="Physical")*('Monthly Occurrences (Support)'!$U$4:$U$166))</f>
        <v>39</v>
      </c>
      <c r="C18" s="4">
        <f>SUMPRODUCT(('Monthly Occurrences (Support)'!$D$4:$D$166="Hybrid")*('Monthly Occurrences (Support)'!$U$4:$U$166))</f>
        <v>0</v>
      </c>
      <c r="D18" s="4">
        <f>SUMPRODUCT(('Monthly Occurrences (Support)'!$D$4:$D$166="Online")*('Monthly Occurrences (Support)'!$U$4:$U$166))</f>
        <v>0</v>
      </c>
      <c r="E18" s="5">
        <f t="shared" si="0"/>
        <v>39</v>
      </c>
      <c r="F18" s="4">
        <f>'Lecture Hall Availability'!P33</f>
        <v>23</v>
      </c>
      <c r="G18" s="4">
        <f>'Lecture Hall Availability'!P64</f>
        <v>26</v>
      </c>
      <c r="H18" s="4">
        <f>'Lecture Hall Availability'!P95</f>
        <v>26</v>
      </c>
    </row>
    <row r="19" spans="1:8" x14ac:dyDescent="0.25">
      <c r="A19" s="6">
        <v>46419</v>
      </c>
      <c r="B19" s="7">
        <f>SUMPRODUCT(('Monthly Occurrences (Support)'!$D$4:$D$166="Physical")*('Monthly Occurrences (Support)'!$V$4:$V$166))</f>
        <v>36</v>
      </c>
      <c r="C19" s="7">
        <f>SUMPRODUCT(('Monthly Occurrences (Support)'!$D$4:$D$166="Hybrid")*('Monthly Occurrences (Support)'!$V$4:$V$166))</f>
        <v>0</v>
      </c>
      <c r="D19" s="7">
        <f>SUMPRODUCT(('Monthly Occurrences (Support)'!$D$4:$D$166="Online")*('Monthly Occurrences (Support)'!$V$4:$V$166))</f>
        <v>0</v>
      </c>
      <c r="E19" s="8">
        <f t="shared" si="0"/>
        <v>36</v>
      </c>
      <c r="F19" s="7">
        <f>'Lecture Hall Availability'!Q33</f>
        <v>24</v>
      </c>
      <c r="G19" s="7">
        <f>'Lecture Hall Availability'!Q64</f>
        <v>26</v>
      </c>
      <c r="H19" s="7">
        <f>'Lecture Hall Availability'!Q95</f>
        <v>26</v>
      </c>
    </row>
    <row r="20" spans="1:8" x14ac:dyDescent="0.25">
      <c r="A20" s="3">
        <v>46447</v>
      </c>
      <c r="B20" s="4">
        <f>SUMPRODUCT(('Monthly Occurrences (Support)'!$D$4:$D$166="Physical")*('Monthly Occurrences (Support)'!$W$4:$W$166))</f>
        <v>42</v>
      </c>
      <c r="C20" s="4">
        <f>SUMPRODUCT(('Monthly Occurrences (Support)'!$D$4:$D$166="Hybrid")*('Monthly Occurrences (Support)'!$W$4:$W$166))</f>
        <v>0</v>
      </c>
      <c r="D20" s="4">
        <f>SUMPRODUCT(('Monthly Occurrences (Support)'!$D$4:$D$166="Online")*('Monthly Occurrences (Support)'!$W$4:$W$166))</f>
        <v>0</v>
      </c>
      <c r="E20" s="5">
        <f t="shared" si="0"/>
        <v>42</v>
      </c>
      <c r="F20" s="4">
        <f>'Lecture Hall Availability'!R33</f>
        <v>24</v>
      </c>
      <c r="G20" s="4">
        <f>'Lecture Hall Availability'!R64</f>
        <v>26</v>
      </c>
      <c r="H20" s="4">
        <f>'Lecture Hall Availability'!R95</f>
        <v>26</v>
      </c>
    </row>
    <row r="21" spans="1:8" x14ac:dyDescent="0.25">
      <c r="A21" s="6">
        <v>46478</v>
      </c>
      <c r="B21" s="7">
        <f>SUMPRODUCT(('Monthly Occurrences (Support)'!$D$4:$D$166="Physical")*('Monthly Occurrences (Support)'!$X$4:$X$166))</f>
        <v>39</v>
      </c>
      <c r="C21" s="7">
        <f>SUMPRODUCT(('Monthly Occurrences (Support)'!$D$4:$D$166="Hybrid")*('Monthly Occurrences (Support)'!$X$4:$X$166))</f>
        <v>0</v>
      </c>
      <c r="D21" s="7">
        <f>SUMPRODUCT(('Monthly Occurrences (Support)'!$D$4:$D$166="Online")*('Monthly Occurrences (Support)'!$X$4:$X$166))</f>
        <v>0</v>
      </c>
      <c r="E21" s="8">
        <f t="shared" si="0"/>
        <v>39</v>
      </c>
      <c r="F21" s="7">
        <f>'Lecture Hall Availability'!S33</f>
        <v>24</v>
      </c>
      <c r="G21" s="7">
        <f>'Lecture Hall Availability'!S64</f>
        <v>26</v>
      </c>
      <c r="H21" s="7">
        <f>'Lecture Hall Availability'!S95</f>
        <v>26</v>
      </c>
    </row>
    <row r="22" spans="1:8" x14ac:dyDescent="0.25">
      <c r="A22" s="3">
        <v>46508</v>
      </c>
      <c r="B22" s="4">
        <f>SUMPRODUCT(('Monthly Occurrences (Support)'!$D$4:$D$166="Physical")*('Monthly Occurrences (Support)'!$Y$4:$Y$166))</f>
        <v>38</v>
      </c>
      <c r="C22" s="4">
        <f>SUMPRODUCT(('Monthly Occurrences (Support)'!$D$4:$D$166="Hybrid")*('Monthly Occurrences (Support)'!$Y$4:$Y$166))</f>
        <v>0</v>
      </c>
      <c r="D22" s="4">
        <f>SUMPRODUCT(('Monthly Occurrences (Support)'!$D$4:$D$166="Online")*('Monthly Occurrences (Support)'!$Y$4:$Y$166))</f>
        <v>0</v>
      </c>
      <c r="E22" s="5">
        <f t="shared" si="0"/>
        <v>38</v>
      </c>
      <c r="F22" s="4">
        <f>'Lecture Hall Availability'!T33</f>
        <v>24</v>
      </c>
      <c r="G22" s="4">
        <f>'Lecture Hall Availability'!T64</f>
        <v>26</v>
      </c>
      <c r="H22" s="4">
        <f>'Lecture Hall Availability'!T95</f>
        <v>26</v>
      </c>
    </row>
    <row r="23" spans="1:8" x14ac:dyDescent="0.25">
      <c r="A23" s="6">
        <v>46539</v>
      </c>
      <c r="B23" s="7">
        <f>SUMPRODUCT(('Monthly Occurrences (Support)'!$D$4:$D$166="Physical")*('Monthly Occurrences (Support)'!$Z$4:$Z$166))</f>
        <v>40</v>
      </c>
      <c r="C23" s="7">
        <f>SUMPRODUCT(('Monthly Occurrences (Support)'!$D$4:$D$166="Hybrid")*('Monthly Occurrences (Support)'!$Z$4:$Z$166))</f>
        <v>0</v>
      </c>
      <c r="D23" s="7">
        <f>SUMPRODUCT(('Monthly Occurrences (Support)'!$D$4:$D$166="Online")*('Monthly Occurrences (Support)'!$Z$4:$Z$166))</f>
        <v>0</v>
      </c>
      <c r="E23" s="8">
        <f t="shared" si="0"/>
        <v>40</v>
      </c>
      <c r="F23" s="7">
        <f>'Lecture Hall Availability'!U33</f>
        <v>24</v>
      </c>
      <c r="G23" s="7">
        <f>'Lecture Hall Availability'!U64</f>
        <v>26</v>
      </c>
      <c r="H23" s="7">
        <f>'Lecture Hall Availability'!U95</f>
        <v>26</v>
      </c>
    </row>
    <row r="24" spans="1:8" x14ac:dyDescent="0.25">
      <c r="A24" s="3">
        <v>46569</v>
      </c>
      <c r="B24" s="4">
        <f>SUMPRODUCT(('Monthly Occurrences (Support)'!$D$4:$D$166="Physical")*('Monthly Occurrences (Support)'!$AA$4:$AA$166))</f>
        <v>39</v>
      </c>
      <c r="C24" s="4">
        <f>SUMPRODUCT(('Monthly Occurrences (Support)'!$D$4:$D$166="Hybrid")*('Monthly Occurrences (Support)'!$AA$4:$AA$166))</f>
        <v>0</v>
      </c>
      <c r="D24" s="4">
        <f>SUMPRODUCT(('Monthly Occurrences (Support)'!$D$4:$D$166="Online")*('Monthly Occurrences (Support)'!$AA$4:$AA$166))</f>
        <v>0</v>
      </c>
      <c r="E24" s="5">
        <f t="shared" si="0"/>
        <v>39</v>
      </c>
      <c r="F24" s="4">
        <f>'Lecture Hall Availability'!V33</f>
        <v>24</v>
      </c>
      <c r="G24" s="4">
        <f>'Lecture Hall Availability'!V64</f>
        <v>26</v>
      </c>
      <c r="H24" s="4">
        <f>'Lecture Hall Availability'!V95</f>
        <v>26</v>
      </c>
    </row>
    <row r="25" spans="1:8" x14ac:dyDescent="0.25">
      <c r="A25" s="6">
        <v>46600</v>
      </c>
      <c r="B25" s="7">
        <f>SUMPRODUCT(('Monthly Occurrences (Support)'!$D$4:$D$166="Physical")*('Monthly Occurrences (Support)'!$AB$4:$AB$166))</f>
        <v>40</v>
      </c>
      <c r="C25" s="7">
        <f>SUMPRODUCT(('Monthly Occurrences (Support)'!$D$4:$D$166="Hybrid")*('Monthly Occurrences (Support)'!$AB$4:$AB$166))</f>
        <v>0</v>
      </c>
      <c r="D25" s="7">
        <f>SUMPRODUCT(('Monthly Occurrences (Support)'!$D$4:$D$166="Online")*('Monthly Occurrences (Support)'!$AB$4:$AB$166))</f>
        <v>0</v>
      </c>
      <c r="E25" s="8">
        <f t="shared" si="0"/>
        <v>40</v>
      </c>
      <c r="F25" s="7">
        <f>'Lecture Hall Availability'!W33</f>
        <v>24</v>
      </c>
      <c r="G25" s="7">
        <f>'Lecture Hall Availability'!W64</f>
        <v>26</v>
      </c>
      <c r="H25" s="7">
        <f>'Lecture Hall Availability'!W95</f>
        <v>26</v>
      </c>
    </row>
    <row r="26" spans="1:8" x14ac:dyDescent="0.25">
      <c r="A26" s="9" t="s">
        <v>30</v>
      </c>
      <c r="B26" s="10">
        <f>SUM(B4:B25)</f>
        <v>2665</v>
      </c>
      <c r="C26" s="10">
        <f>SUM(C4:C25)</f>
        <v>406</v>
      </c>
      <c r="D26" s="10">
        <f>SUM(D4:D25)</f>
        <v>119</v>
      </c>
      <c r="E26" s="10">
        <f>SUM(E4:E25)</f>
        <v>3190</v>
      </c>
      <c r="F26" s="11"/>
      <c r="G26" s="11"/>
      <c r="H26" s="11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W100"/>
  <sheetViews>
    <sheetView showGridLines="0" zoomScaleNormal="100" workbookViewId="0">
      <pane xSplit="1" ySplit="3" topLeftCell="J4" activePane="bottomRight" state="frozen"/>
      <selection pane="topRight" activeCell="B1" sqref="B1"/>
      <selection pane="bottomLeft" activeCell="A4" sqref="A4"/>
      <selection pane="bottomRight" activeCell="L33" sqref="L33"/>
    </sheetView>
  </sheetViews>
  <sheetFormatPr defaultColWidth="8.7109375" defaultRowHeight="15" x14ac:dyDescent="0.25"/>
  <cols>
    <col min="1" max="1" width="63.7109375" customWidth="1"/>
    <col min="2" max="23" width="9" customWidth="1"/>
  </cols>
  <sheetData>
    <row r="1" spans="1:23" ht="42.75" customHeight="1" x14ac:dyDescent="0.25">
      <c r="A1" s="12" t="s">
        <v>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27.75" customHeigh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</row>
    <row r="4" spans="1:23" x14ac:dyDescent="0.25">
      <c r="A4" s="61" t="s">
        <v>32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</row>
    <row r="5" spans="1:23" ht="15.75" customHeight="1" x14ac:dyDescent="0.25">
      <c r="A5" s="13" t="s">
        <v>33</v>
      </c>
      <c r="B5" s="14">
        <v>45962</v>
      </c>
      <c r="C5" s="14">
        <v>45992</v>
      </c>
      <c r="D5" s="14">
        <v>46023</v>
      </c>
      <c r="E5" s="14">
        <v>46054</v>
      </c>
      <c r="F5" s="14">
        <v>46082</v>
      </c>
      <c r="G5" s="14">
        <v>46113</v>
      </c>
      <c r="H5" s="14">
        <v>46143</v>
      </c>
      <c r="I5" s="14">
        <v>46174</v>
      </c>
      <c r="J5" s="14">
        <v>46204</v>
      </c>
      <c r="K5" s="14">
        <v>46235</v>
      </c>
      <c r="L5" s="14">
        <v>46266</v>
      </c>
      <c r="M5" s="14">
        <v>46296</v>
      </c>
      <c r="N5" s="14">
        <v>46327</v>
      </c>
      <c r="O5" s="14">
        <v>46357</v>
      </c>
      <c r="P5" s="14">
        <v>46388</v>
      </c>
      <c r="Q5" s="14">
        <v>46419</v>
      </c>
      <c r="R5" s="14">
        <v>46447</v>
      </c>
      <c r="S5" s="14">
        <v>46478</v>
      </c>
      <c r="T5" s="14">
        <v>46508</v>
      </c>
      <c r="U5" s="14">
        <v>46539</v>
      </c>
      <c r="V5" s="14">
        <v>46569</v>
      </c>
      <c r="W5" s="14">
        <v>46600</v>
      </c>
    </row>
    <row r="6" spans="1:23" x14ac:dyDescent="0.25">
      <c r="A6" s="15" t="s">
        <v>34</v>
      </c>
      <c r="B6" s="4">
        <f>SUMPRODUCT(('Monthly Occurrences (Support)'!$C$4:$C$166=$A6)*('Monthly Occurrences (Support)'!$D$4:$D$166="Physical")*('Monthly Occurrences (Support)'!$G$4:$G$166))</f>
        <v>0</v>
      </c>
      <c r="C6" s="4">
        <f>SUMPRODUCT(('Monthly Occurrences (Support)'!$C$4:$C$166=$A6)*('Monthly Occurrences (Support)'!$D$4:$D$166="Physical")*('Monthly Occurrences (Support)'!$H$4:$H$166))</f>
        <v>0</v>
      </c>
      <c r="D6" s="4">
        <f>SUMPRODUCT(('Monthly Occurrences (Support)'!$C$4:$C$166=$A6)*('Monthly Occurrences (Support)'!$D$4:$D$166="Physical")*('Monthly Occurrences (Support)'!$I$4:$I$166))</f>
        <v>0</v>
      </c>
      <c r="E6" s="4">
        <f>SUMPRODUCT(('Monthly Occurrences (Support)'!$C$4:$C$166=$A6)*('Monthly Occurrences (Support)'!$D$4:$D$166="Physical")*('Monthly Occurrences (Support)'!$J$4:$J$166))</f>
        <v>0</v>
      </c>
      <c r="F6" s="4">
        <f>SUMPRODUCT(('Monthly Occurrences (Support)'!$C$4:$C$166=$A6)*('Monthly Occurrences (Support)'!$D$4:$D$166="Physical")*('Monthly Occurrences (Support)'!$K$4:$K$166))</f>
        <v>0</v>
      </c>
      <c r="G6" s="4">
        <f>SUMPRODUCT(('Monthly Occurrences (Support)'!$C$4:$C$166=$A6)*('Monthly Occurrences (Support)'!$D$4:$D$166="Physical")*('Monthly Occurrences (Support)'!$L$4:$L$166))</f>
        <v>0</v>
      </c>
      <c r="H6" s="4">
        <f>SUMPRODUCT(('Monthly Occurrences (Support)'!$C$4:$C$166=$A6)*('Monthly Occurrences (Support)'!$D$4:$D$166="Physical")*('Monthly Occurrences (Support)'!$M$4:$M$166))</f>
        <v>0</v>
      </c>
      <c r="I6" s="4">
        <f>SUMPRODUCT(('Monthly Occurrences (Support)'!$C$4:$C$166=$A6)*('Monthly Occurrences (Support)'!$D$4:$D$166="Physical")*('Monthly Occurrences (Support)'!$N$4:$N$166))</f>
        <v>0</v>
      </c>
      <c r="J6" s="4">
        <f>SUMPRODUCT(('Monthly Occurrences (Support)'!$C$4:$C$166=$A6)*('Monthly Occurrences (Support)'!$D$4:$D$166="Physical")*('Monthly Occurrences (Support)'!$O$4:$O$166))</f>
        <v>0</v>
      </c>
      <c r="K6" s="4">
        <f>SUMPRODUCT(('Monthly Occurrences (Support)'!$C$4:$C$166=$A6)*('Monthly Occurrences (Support)'!$D$4:$D$166="Physical")*('Monthly Occurrences (Support)'!$P$4:$P$166))</f>
        <v>0</v>
      </c>
      <c r="L6" s="4">
        <f>SUMPRODUCT(('Monthly Occurrences (Support)'!$C$4:$C$166=$A6)*('Monthly Occurrences (Support)'!$D$4:$D$166="Physical")*('Monthly Occurrences (Support)'!$Q$4:$Q$166))</f>
        <v>0</v>
      </c>
      <c r="M6" s="4">
        <f>SUMPRODUCT(('Monthly Occurrences (Support)'!$C$4:$C$166=$A6)*('Monthly Occurrences (Support)'!$D$4:$D$166="Physical")*('Monthly Occurrences (Support)'!$R$4:$R$166))</f>
        <v>0</v>
      </c>
      <c r="N6" s="4">
        <f>SUMPRODUCT(('Monthly Occurrences (Support)'!$C$4:$C$166=$A6)*('Monthly Occurrences (Support)'!$D$4:$D$166="Physical")*('Monthly Occurrences (Support)'!$S$4:$S$166))</f>
        <v>0</v>
      </c>
      <c r="O6" s="4">
        <f>SUMPRODUCT(('Monthly Occurrences (Support)'!$C$4:$C$166=$A6)*('Monthly Occurrences (Support)'!$D$4:$D$166="Physical")*('Monthly Occurrences (Support)'!$T$4:$T$166))</f>
        <v>0</v>
      </c>
      <c r="P6" s="4">
        <f>SUMPRODUCT(('Monthly Occurrences (Support)'!$C$4:$C$166=$A6)*('Monthly Occurrences (Support)'!$D$4:$D$166="Physical")*('Monthly Occurrences (Support)'!$U$4:$U$166))</f>
        <v>0</v>
      </c>
      <c r="Q6" s="4">
        <f>SUMPRODUCT(('Monthly Occurrences (Support)'!$C$4:$C$166=$A6)*('Monthly Occurrences (Support)'!$D$4:$D$166="Physical")*('Monthly Occurrences (Support)'!$V$4:$V$166))</f>
        <v>0</v>
      </c>
      <c r="R6" s="4">
        <f>SUMPRODUCT(('Monthly Occurrences (Support)'!$C$4:$C$166=$A6)*('Monthly Occurrences (Support)'!$D$4:$D$166="Physical")*('Monthly Occurrences (Support)'!$W$4:$W$166))</f>
        <v>0</v>
      </c>
      <c r="S6" s="4">
        <f>SUMPRODUCT(('Monthly Occurrences (Support)'!$C$4:$C$166=$A6)*('Monthly Occurrences (Support)'!$D$4:$D$166="Physical")*('Monthly Occurrences (Support)'!$X$4:$X$166))</f>
        <v>0</v>
      </c>
      <c r="T6" s="4">
        <f>SUMPRODUCT(('Monthly Occurrences (Support)'!$C$4:$C$166=$A6)*('Monthly Occurrences (Support)'!$D$4:$D$166="Physical")*('Monthly Occurrences (Support)'!$Y$4:$Y$166))</f>
        <v>0</v>
      </c>
      <c r="U6" s="4">
        <f>SUMPRODUCT(('Monthly Occurrences (Support)'!$C$4:$C$166=$A6)*('Monthly Occurrences (Support)'!$D$4:$D$166="Physical")*('Monthly Occurrences (Support)'!$Z$4:$Z$166))</f>
        <v>0</v>
      </c>
      <c r="V6" s="4">
        <f>SUMPRODUCT(('Monthly Occurrences (Support)'!$C$4:$C$166=$A6)*('Monthly Occurrences (Support)'!$D$4:$D$166="Physical")*('Monthly Occurrences (Support)'!$AA$4:$AA$166))</f>
        <v>0</v>
      </c>
      <c r="W6" s="4">
        <f>SUMPRODUCT(('Monthly Occurrences (Support)'!$C$4:$C$166=$A6)*('Monthly Occurrences (Support)'!$D$4:$D$166="Physical")*('Monthly Occurrences (Support)'!$AB$4:$AB$166))</f>
        <v>0</v>
      </c>
    </row>
    <row r="7" spans="1:23" x14ac:dyDescent="0.25">
      <c r="A7" s="16" t="s">
        <v>35</v>
      </c>
      <c r="B7" s="7">
        <f>SUMPRODUCT(('Monthly Occurrences (Support)'!$C$4:$C$166=$A7)*('Monthly Occurrences (Support)'!$D$4:$D$166="Physical")*('Monthly Occurrences (Support)'!$G$4:$G$166))</f>
        <v>0</v>
      </c>
      <c r="C7" s="7">
        <f>SUMPRODUCT(('Monthly Occurrences (Support)'!$C$4:$C$166=$A7)*('Monthly Occurrences (Support)'!$D$4:$D$166="Physical")*('Monthly Occurrences (Support)'!$H$4:$H$166))</f>
        <v>0</v>
      </c>
      <c r="D7" s="7">
        <f>SUMPRODUCT(('Monthly Occurrences (Support)'!$C$4:$C$166=$A7)*('Monthly Occurrences (Support)'!$D$4:$D$166="Physical")*('Monthly Occurrences (Support)'!$I$4:$I$166))</f>
        <v>0</v>
      </c>
      <c r="E7" s="7">
        <f>SUMPRODUCT(('Monthly Occurrences (Support)'!$C$4:$C$166=$A7)*('Monthly Occurrences (Support)'!$D$4:$D$166="Physical")*('Monthly Occurrences (Support)'!$J$4:$J$166))</f>
        <v>0</v>
      </c>
      <c r="F7" s="7">
        <f>SUMPRODUCT(('Monthly Occurrences (Support)'!$C$4:$C$166=$A7)*('Monthly Occurrences (Support)'!$D$4:$D$166="Physical")*('Monthly Occurrences (Support)'!$K$4:$K$166))</f>
        <v>0</v>
      </c>
      <c r="G7" s="7">
        <f>SUMPRODUCT(('Monthly Occurrences (Support)'!$C$4:$C$166=$A7)*('Monthly Occurrences (Support)'!$D$4:$D$166="Physical")*('Monthly Occurrences (Support)'!$L$4:$L$166))</f>
        <v>0</v>
      </c>
      <c r="H7" s="7">
        <f>SUMPRODUCT(('Monthly Occurrences (Support)'!$C$4:$C$166=$A7)*('Monthly Occurrences (Support)'!$D$4:$D$166="Physical")*('Monthly Occurrences (Support)'!$M$4:$M$166))</f>
        <v>4</v>
      </c>
      <c r="I7" s="7">
        <f>SUMPRODUCT(('Monthly Occurrences (Support)'!$C$4:$C$166=$A7)*('Monthly Occurrences (Support)'!$D$4:$D$166="Physical")*('Monthly Occurrences (Support)'!$N$4:$N$166))</f>
        <v>4</v>
      </c>
      <c r="J7" s="7">
        <f>SUMPRODUCT(('Monthly Occurrences (Support)'!$C$4:$C$166=$A7)*('Monthly Occurrences (Support)'!$D$4:$D$166="Physical")*('Monthly Occurrences (Support)'!$O$4:$O$166))</f>
        <v>11</v>
      </c>
      <c r="K7" s="7">
        <f>SUMPRODUCT(('Monthly Occurrences (Support)'!$C$4:$C$166=$A7)*('Monthly Occurrences (Support)'!$D$4:$D$166="Physical")*('Monthly Occurrences (Support)'!$P$4:$P$166))</f>
        <v>12</v>
      </c>
      <c r="L7" s="7">
        <f>SUMPRODUCT(('Monthly Occurrences (Support)'!$C$4:$C$166=$A7)*('Monthly Occurrences (Support)'!$D$4:$D$166="Physical")*('Monthly Occurrences (Support)'!$Q$4:$Q$166))</f>
        <v>8</v>
      </c>
      <c r="M7" s="7">
        <f>SUMPRODUCT(('Monthly Occurrences (Support)'!$C$4:$C$166=$A7)*('Monthly Occurrences (Support)'!$D$4:$D$166="Physical")*('Monthly Occurrences (Support)'!$R$4:$R$166))</f>
        <v>10</v>
      </c>
      <c r="N7" s="7">
        <f>SUMPRODUCT(('Monthly Occurrences (Support)'!$C$4:$C$166=$A7)*('Monthly Occurrences (Support)'!$D$4:$D$166="Physical")*('Monthly Occurrences (Support)'!$S$4:$S$166))</f>
        <v>8</v>
      </c>
      <c r="O7" s="7">
        <f>SUMPRODUCT(('Monthly Occurrences (Support)'!$C$4:$C$166=$A7)*('Monthly Occurrences (Support)'!$D$4:$D$166="Physical")*('Monthly Occurrences (Support)'!$T$4:$T$166))</f>
        <v>3</v>
      </c>
      <c r="P7" s="7">
        <f>SUMPRODUCT(('Monthly Occurrences (Support)'!$C$4:$C$166=$A7)*('Monthly Occurrences (Support)'!$D$4:$D$166="Physical")*('Monthly Occurrences (Support)'!$U$4:$U$166))</f>
        <v>0</v>
      </c>
      <c r="Q7" s="7">
        <f>SUMPRODUCT(('Monthly Occurrences (Support)'!$C$4:$C$166=$A7)*('Monthly Occurrences (Support)'!$D$4:$D$166="Physical")*('Monthly Occurrences (Support)'!$V$4:$V$166))</f>
        <v>0</v>
      </c>
      <c r="R7" s="7">
        <f>SUMPRODUCT(('Monthly Occurrences (Support)'!$C$4:$C$166=$A7)*('Monthly Occurrences (Support)'!$D$4:$D$166="Physical")*('Monthly Occurrences (Support)'!$W$4:$W$166))</f>
        <v>0</v>
      </c>
      <c r="S7" s="7">
        <f>SUMPRODUCT(('Monthly Occurrences (Support)'!$C$4:$C$166=$A7)*('Monthly Occurrences (Support)'!$D$4:$D$166="Physical")*('Monthly Occurrences (Support)'!$X$4:$X$166))</f>
        <v>0</v>
      </c>
      <c r="T7" s="7">
        <f>SUMPRODUCT(('Monthly Occurrences (Support)'!$C$4:$C$166=$A7)*('Monthly Occurrences (Support)'!$D$4:$D$166="Physical")*('Monthly Occurrences (Support)'!$Y$4:$Y$166))</f>
        <v>0</v>
      </c>
      <c r="U7" s="7">
        <f>SUMPRODUCT(('Monthly Occurrences (Support)'!$C$4:$C$166=$A7)*('Monthly Occurrences (Support)'!$D$4:$D$166="Physical")*('Monthly Occurrences (Support)'!$Z$4:$Z$166))</f>
        <v>0</v>
      </c>
      <c r="V7" s="7">
        <f>SUMPRODUCT(('Monthly Occurrences (Support)'!$C$4:$C$166=$A7)*('Monthly Occurrences (Support)'!$D$4:$D$166="Physical")*('Monthly Occurrences (Support)'!$AA$4:$AA$166))</f>
        <v>0</v>
      </c>
      <c r="W7" s="7">
        <f>SUMPRODUCT(('Monthly Occurrences (Support)'!$C$4:$C$166=$A7)*('Monthly Occurrences (Support)'!$D$4:$D$166="Physical")*('Monthly Occurrences (Support)'!$AB$4:$AB$166))</f>
        <v>0</v>
      </c>
    </row>
    <row r="8" spans="1:23" x14ac:dyDescent="0.25">
      <c r="A8" s="15" t="s">
        <v>36</v>
      </c>
      <c r="B8" s="4">
        <f>SUMPRODUCT(('Monthly Occurrences (Support)'!$C$4:$C$166=$A8)*('Monthly Occurrences (Support)'!$D$4:$D$166="Physical")*('Monthly Occurrences (Support)'!$G$4:$G$166))</f>
        <v>0</v>
      </c>
      <c r="C8" s="4">
        <f>SUMPRODUCT(('Monthly Occurrences (Support)'!$C$4:$C$166=$A8)*('Monthly Occurrences (Support)'!$D$4:$D$166="Physical")*('Monthly Occurrences (Support)'!$H$4:$H$166))</f>
        <v>0</v>
      </c>
      <c r="D8" s="4">
        <f>SUMPRODUCT(('Monthly Occurrences (Support)'!$C$4:$C$166=$A8)*('Monthly Occurrences (Support)'!$D$4:$D$166="Physical")*('Monthly Occurrences (Support)'!$I$4:$I$166))</f>
        <v>0</v>
      </c>
      <c r="E8" s="4">
        <f>SUMPRODUCT(('Monthly Occurrences (Support)'!$C$4:$C$166=$A8)*('Monthly Occurrences (Support)'!$D$4:$D$166="Physical")*('Monthly Occurrences (Support)'!$J$4:$J$166))</f>
        <v>0</v>
      </c>
      <c r="F8" s="4">
        <f>SUMPRODUCT(('Monthly Occurrences (Support)'!$C$4:$C$166=$A8)*('Monthly Occurrences (Support)'!$D$4:$D$166="Physical")*('Monthly Occurrences (Support)'!$K$4:$K$166))</f>
        <v>0</v>
      </c>
      <c r="G8" s="4">
        <f>SUMPRODUCT(('Monthly Occurrences (Support)'!$C$4:$C$166=$A8)*('Monthly Occurrences (Support)'!$D$4:$D$166="Physical")*('Monthly Occurrences (Support)'!$L$4:$L$166))</f>
        <v>0</v>
      </c>
      <c r="H8" s="4">
        <f>SUMPRODUCT(('Monthly Occurrences (Support)'!$C$4:$C$166=$A8)*('Monthly Occurrences (Support)'!$D$4:$D$166="Physical")*('Monthly Occurrences (Support)'!$M$4:$M$166))</f>
        <v>0</v>
      </c>
      <c r="I8" s="4">
        <f>SUMPRODUCT(('Monthly Occurrences (Support)'!$C$4:$C$166=$A8)*('Monthly Occurrences (Support)'!$D$4:$D$166="Physical")*('Monthly Occurrences (Support)'!$N$4:$N$166))</f>
        <v>0</v>
      </c>
      <c r="J8" s="4">
        <f>SUMPRODUCT(('Monthly Occurrences (Support)'!$C$4:$C$166=$A8)*('Monthly Occurrences (Support)'!$D$4:$D$166="Physical")*('Monthly Occurrences (Support)'!$O$4:$O$166))</f>
        <v>24</v>
      </c>
      <c r="K8" s="4">
        <f>SUMPRODUCT(('Monthly Occurrences (Support)'!$C$4:$C$166=$A8)*('Monthly Occurrences (Support)'!$D$4:$D$166="Physical")*('Monthly Occurrences (Support)'!$P$4:$P$166))</f>
        <v>34</v>
      </c>
      <c r="L8" s="4">
        <f>SUMPRODUCT(('Monthly Occurrences (Support)'!$C$4:$C$166=$A8)*('Monthly Occurrences (Support)'!$D$4:$D$166="Physical")*('Monthly Occurrences (Support)'!$Q$4:$Q$166))</f>
        <v>35</v>
      </c>
      <c r="M8" s="4">
        <f>SUMPRODUCT(('Monthly Occurrences (Support)'!$C$4:$C$166=$A8)*('Monthly Occurrences (Support)'!$D$4:$D$166="Physical")*('Monthly Occurrences (Support)'!$R$4:$R$166))</f>
        <v>35</v>
      </c>
      <c r="N8" s="4">
        <f>SUMPRODUCT(('Monthly Occurrences (Support)'!$C$4:$C$166=$A8)*('Monthly Occurrences (Support)'!$D$4:$D$166="Physical")*('Monthly Occurrences (Support)'!$S$4:$S$166))</f>
        <v>34</v>
      </c>
      <c r="O8" s="4">
        <f>SUMPRODUCT(('Monthly Occurrences (Support)'!$C$4:$C$166=$A8)*('Monthly Occurrences (Support)'!$D$4:$D$166="Physical")*('Monthly Occurrences (Support)'!$T$4:$T$166))</f>
        <v>37</v>
      </c>
      <c r="P8" s="4">
        <f>SUMPRODUCT(('Monthly Occurrences (Support)'!$C$4:$C$166=$A8)*('Monthly Occurrences (Support)'!$D$4:$D$166="Physical")*('Monthly Occurrences (Support)'!$U$4:$U$166))</f>
        <v>33</v>
      </c>
      <c r="Q8" s="4">
        <f>SUMPRODUCT(('Monthly Occurrences (Support)'!$C$4:$C$166=$A8)*('Monthly Occurrences (Support)'!$D$4:$D$166="Physical")*('Monthly Occurrences (Support)'!$V$4:$V$166))</f>
        <v>32</v>
      </c>
      <c r="R8" s="4">
        <f>SUMPRODUCT(('Monthly Occurrences (Support)'!$C$4:$C$166=$A8)*('Monthly Occurrences (Support)'!$D$4:$D$166="Physical")*('Monthly Occurrences (Support)'!$W$4:$W$166))</f>
        <v>37</v>
      </c>
      <c r="S8" s="4">
        <f>SUMPRODUCT(('Monthly Occurrences (Support)'!$C$4:$C$166=$A8)*('Monthly Occurrences (Support)'!$D$4:$D$166="Physical")*('Monthly Occurrences (Support)'!$X$4:$X$166))</f>
        <v>35</v>
      </c>
      <c r="T8" s="4">
        <f>SUMPRODUCT(('Monthly Occurrences (Support)'!$C$4:$C$166=$A8)*('Monthly Occurrences (Support)'!$D$4:$D$166="Physical")*('Monthly Occurrences (Support)'!$Y$4:$Y$166))</f>
        <v>34</v>
      </c>
      <c r="U8" s="4">
        <f>SUMPRODUCT(('Monthly Occurrences (Support)'!$C$4:$C$166=$A8)*('Monthly Occurrences (Support)'!$D$4:$D$166="Physical")*('Monthly Occurrences (Support)'!$Z$4:$Z$166))</f>
        <v>35</v>
      </c>
      <c r="V8" s="4">
        <f>SUMPRODUCT(('Monthly Occurrences (Support)'!$C$4:$C$166=$A8)*('Monthly Occurrences (Support)'!$D$4:$D$166="Physical")*('Monthly Occurrences (Support)'!$AA$4:$AA$166))</f>
        <v>35</v>
      </c>
      <c r="W8" s="4">
        <f>SUMPRODUCT(('Monthly Occurrences (Support)'!$C$4:$C$166=$A8)*('Monthly Occurrences (Support)'!$D$4:$D$166="Physical")*('Monthly Occurrences (Support)'!$AB$4:$AB$166))</f>
        <v>36</v>
      </c>
    </row>
    <row r="9" spans="1:23" x14ac:dyDescent="0.25">
      <c r="A9" s="16" t="s">
        <v>37</v>
      </c>
      <c r="B9" s="7">
        <f>SUMPRODUCT(('Monthly Occurrences (Support)'!$C$4:$C$166=$A9)*('Monthly Occurrences (Support)'!$D$4:$D$166="Physical")*('Monthly Occurrences (Support)'!$G$4:$G$166))</f>
        <v>0</v>
      </c>
      <c r="C9" s="7">
        <f>SUMPRODUCT(('Monthly Occurrences (Support)'!$C$4:$C$166=$A9)*('Monthly Occurrences (Support)'!$D$4:$D$166="Physical")*('Monthly Occurrences (Support)'!$H$4:$H$166))</f>
        <v>0</v>
      </c>
      <c r="D9" s="7">
        <f>SUMPRODUCT(('Monthly Occurrences (Support)'!$C$4:$C$166=$A9)*('Monthly Occurrences (Support)'!$D$4:$D$166="Physical")*('Monthly Occurrences (Support)'!$I$4:$I$166))</f>
        <v>0</v>
      </c>
      <c r="E9" s="7">
        <f>SUMPRODUCT(('Monthly Occurrences (Support)'!$C$4:$C$166=$A9)*('Monthly Occurrences (Support)'!$D$4:$D$166="Physical")*('Monthly Occurrences (Support)'!$J$4:$J$166))</f>
        <v>0</v>
      </c>
      <c r="F9" s="7">
        <f>SUMPRODUCT(('Monthly Occurrences (Support)'!$C$4:$C$166=$A9)*('Monthly Occurrences (Support)'!$D$4:$D$166="Physical")*('Monthly Occurrences (Support)'!$K$4:$K$166))</f>
        <v>11</v>
      </c>
      <c r="G9" s="7">
        <f>SUMPRODUCT(('Monthly Occurrences (Support)'!$C$4:$C$166=$A9)*('Monthly Occurrences (Support)'!$D$4:$D$166="Physical")*('Monthly Occurrences (Support)'!$L$4:$L$166))</f>
        <v>17</v>
      </c>
      <c r="H9" s="7">
        <f>SUMPRODUCT(('Monthly Occurrences (Support)'!$C$4:$C$166=$A9)*('Monthly Occurrences (Support)'!$D$4:$D$166="Physical")*('Monthly Occurrences (Support)'!$M$4:$M$166))</f>
        <v>16</v>
      </c>
      <c r="I9" s="7">
        <f>SUMPRODUCT(('Monthly Occurrences (Support)'!$C$4:$C$166=$A9)*('Monthly Occurrences (Support)'!$D$4:$D$166="Physical")*('Monthly Occurrences (Support)'!$N$4:$N$166))</f>
        <v>19</v>
      </c>
      <c r="J9" s="7">
        <f>SUMPRODUCT(('Monthly Occurrences (Support)'!$C$4:$C$166=$A9)*('Monthly Occurrences (Support)'!$D$4:$D$166="Physical")*('Monthly Occurrences (Support)'!$O$4:$O$166))</f>
        <v>19</v>
      </c>
      <c r="K9" s="7">
        <f>SUMPRODUCT(('Monthly Occurrences (Support)'!$C$4:$C$166=$A9)*('Monthly Occurrences (Support)'!$D$4:$D$166="Physical")*('Monthly Occurrences (Support)'!$P$4:$P$166))</f>
        <v>9</v>
      </c>
      <c r="L9" s="7">
        <f>SUMPRODUCT(('Monthly Occurrences (Support)'!$C$4:$C$166=$A9)*('Monthly Occurrences (Support)'!$D$4:$D$166="Physical")*('Monthly Occurrences (Support)'!$Q$4:$Q$166))</f>
        <v>9</v>
      </c>
      <c r="M9" s="7">
        <f>SUMPRODUCT(('Monthly Occurrences (Support)'!$C$4:$C$166=$A9)*('Monthly Occurrences (Support)'!$D$4:$D$166="Physical")*('Monthly Occurrences (Support)'!$R$4:$R$166))</f>
        <v>9</v>
      </c>
      <c r="N9" s="7">
        <f>SUMPRODUCT(('Monthly Occurrences (Support)'!$C$4:$C$166=$A9)*('Monthly Occurrences (Support)'!$D$4:$D$166="Physical")*('Monthly Occurrences (Support)'!$S$4:$S$166))</f>
        <v>8</v>
      </c>
      <c r="O9" s="7">
        <f>SUMPRODUCT(('Monthly Occurrences (Support)'!$C$4:$C$166=$A9)*('Monthly Occurrences (Support)'!$D$4:$D$166="Physical")*('Monthly Occurrences (Support)'!$T$4:$T$166))</f>
        <v>3</v>
      </c>
      <c r="P9" s="7">
        <f>SUMPRODUCT(('Monthly Occurrences (Support)'!$C$4:$C$166=$A9)*('Monthly Occurrences (Support)'!$D$4:$D$166="Physical")*('Monthly Occurrences (Support)'!$U$4:$U$166))</f>
        <v>0</v>
      </c>
      <c r="Q9" s="7">
        <f>SUMPRODUCT(('Monthly Occurrences (Support)'!$C$4:$C$166=$A9)*('Monthly Occurrences (Support)'!$D$4:$D$166="Physical")*('Monthly Occurrences (Support)'!$V$4:$V$166))</f>
        <v>0</v>
      </c>
      <c r="R9" s="7">
        <f>SUMPRODUCT(('Monthly Occurrences (Support)'!$C$4:$C$166=$A9)*('Monthly Occurrences (Support)'!$D$4:$D$166="Physical")*('Monthly Occurrences (Support)'!$W$4:$W$166))</f>
        <v>0</v>
      </c>
      <c r="S9" s="7">
        <f>SUMPRODUCT(('Monthly Occurrences (Support)'!$C$4:$C$166=$A9)*('Monthly Occurrences (Support)'!$D$4:$D$166="Physical")*('Monthly Occurrences (Support)'!$X$4:$X$166))</f>
        <v>0</v>
      </c>
      <c r="T9" s="7">
        <f>SUMPRODUCT(('Monthly Occurrences (Support)'!$C$4:$C$166=$A9)*('Monthly Occurrences (Support)'!$D$4:$D$166="Physical")*('Monthly Occurrences (Support)'!$Y$4:$Y$166))</f>
        <v>0</v>
      </c>
      <c r="U9" s="7">
        <f>SUMPRODUCT(('Monthly Occurrences (Support)'!$C$4:$C$166=$A9)*('Monthly Occurrences (Support)'!$D$4:$D$166="Physical")*('Monthly Occurrences (Support)'!$Z$4:$Z$166))</f>
        <v>0</v>
      </c>
      <c r="V9" s="7">
        <f>SUMPRODUCT(('Monthly Occurrences (Support)'!$C$4:$C$166=$A9)*('Monthly Occurrences (Support)'!$D$4:$D$166="Physical")*('Monthly Occurrences (Support)'!$AA$4:$AA$166))</f>
        <v>0</v>
      </c>
      <c r="W9" s="7">
        <f>SUMPRODUCT(('Monthly Occurrences (Support)'!$C$4:$C$166=$A9)*('Monthly Occurrences (Support)'!$D$4:$D$166="Physical")*('Monthly Occurrences (Support)'!$AB$4:$AB$166))</f>
        <v>0</v>
      </c>
    </row>
    <row r="10" spans="1:23" x14ac:dyDescent="0.25">
      <c r="A10" s="15" t="s">
        <v>38</v>
      </c>
      <c r="B10" s="4">
        <f>SUMPRODUCT(('Monthly Occurrences (Support)'!$C$4:$C$166=$A10)*('Monthly Occurrences (Support)'!$D$4:$D$166="Physical")*('Monthly Occurrences (Support)'!$G$4:$G$166))</f>
        <v>0</v>
      </c>
      <c r="C10" s="4">
        <f>SUMPRODUCT(('Monthly Occurrences (Support)'!$C$4:$C$166=$A10)*('Monthly Occurrences (Support)'!$D$4:$D$166="Physical")*('Monthly Occurrences (Support)'!$H$4:$H$166))</f>
        <v>0</v>
      </c>
      <c r="D10" s="4">
        <f>SUMPRODUCT(('Monthly Occurrences (Support)'!$C$4:$C$166=$A10)*('Monthly Occurrences (Support)'!$D$4:$D$166="Physical")*('Monthly Occurrences (Support)'!$I$4:$I$166))</f>
        <v>0</v>
      </c>
      <c r="E10" s="4">
        <f>SUMPRODUCT(('Monthly Occurrences (Support)'!$C$4:$C$166=$A10)*('Monthly Occurrences (Support)'!$D$4:$D$166="Physical")*('Monthly Occurrences (Support)'!$J$4:$J$166))</f>
        <v>0</v>
      </c>
      <c r="F10" s="4">
        <f>SUMPRODUCT(('Monthly Occurrences (Support)'!$C$4:$C$166=$A10)*('Monthly Occurrences (Support)'!$D$4:$D$166="Physical")*('Monthly Occurrences (Support)'!$K$4:$K$166))</f>
        <v>0</v>
      </c>
      <c r="G10" s="4">
        <f>SUMPRODUCT(('Monthly Occurrences (Support)'!$C$4:$C$166=$A10)*('Monthly Occurrences (Support)'!$D$4:$D$166="Physical")*('Monthly Occurrences (Support)'!$L$4:$L$166))</f>
        <v>0</v>
      </c>
      <c r="H10" s="4">
        <f>SUMPRODUCT(('Monthly Occurrences (Support)'!$C$4:$C$166=$A10)*('Monthly Occurrences (Support)'!$D$4:$D$166="Physical")*('Monthly Occurrences (Support)'!$M$4:$M$166))</f>
        <v>0</v>
      </c>
      <c r="I10" s="4">
        <f>SUMPRODUCT(('Monthly Occurrences (Support)'!$C$4:$C$166=$A10)*('Monthly Occurrences (Support)'!$D$4:$D$166="Physical")*('Monthly Occurrences (Support)'!$N$4:$N$166))</f>
        <v>0</v>
      </c>
      <c r="J10" s="4">
        <f>SUMPRODUCT(('Monthly Occurrences (Support)'!$C$4:$C$166=$A10)*('Monthly Occurrences (Support)'!$D$4:$D$166="Physical")*('Monthly Occurrences (Support)'!$O$4:$O$166))</f>
        <v>0</v>
      </c>
      <c r="K10" s="4">
        <f>SUMPRODUCT(('Monthly Occurrences (Support)'!$C$4:$C$166=$A10)*('Monthly Occurrences (Support)'!$D$4:$D$166="Physical")*('Monthly Occurrences (Support)'!$P$4:$P$166))</f>
        <v>0</v>
      </c>
      <c r="L10" s="4">
        <f>SUMPRODUCT(('Monthly Occurrences (Support)'!$C$4:$C$166=$A10)*('Monthly Occurrences (Support)'!$D$4:$D$166="Physical")*('Monthly Occurrences (Support)'!$Q$4:$Q$166))</f>
        <v>0</v>
      </c>
      <c r="M10" s="4">
        <f>SUMPRODUCT(('Monthly Occurrences (Support)'!$C$4:$C$166=$A10)*('Monthly Occurrences (Support)'!$D$4:$D$166="Physical")*('Monthly Occurrences (Support)'!$R$4:$R$166))</f>
        <v>0</v>
      </c>
      <c r="N10" s="4">
        <f>SUMPRODUCT(('Monthly Occurrences (Support)'!$C$4:$C$166=$A10)*('Monthly Occurrences (Support)'!$D$4:$D$166="Physical")*('Monthly Occurrences (Support)'!$S$4:$S$166))</f>
        <v>0</v>
      </c>
      <c r="O10" s="4">
        <f>SUMPRODUCT(('Monthly Occurrences (Support)'!$C$4:$C$166=$A10)*('Monthly Occurrences (Support)'!$D$4:$D$166="Physical")*('Monthly Occurrences (Support)'!$T$4:$T$166))</f>
        <v>0</v>
      </c>
      <c r="P10" s="4">
        <f>SUMPRODUCT(('Monthly Occurrences (Support)'!$C$4:$C$166=$A10)*('Monthly Occurrences (Support)'!$D$4:$D$166="Physical")*('Monthly Occurrences (Support)'!$U$4:$U$166))</f>
        <v>0</v>
      </c>
      <c r="Q10" s="4">
        <f>SUMPRODUCT(('Monthly Occurrences (Support)'!$C$4:$C$166=$A10)*('Monthly Occurrences (Support)'!$D$4:$D$166="Physical")*('Monthly Occurrences (Support)'!$V$4:$V$166))</f>
        <v>0</v>
      </c>
      <c r="R10" s="4">
        <f>SUMPRODUCT(('Monthly Occurrences (Support)'!$C$4:$C$166=$A10)*('Monthly Occurrences (Support)'!$D$4:$D$166="Physical")*('Monthly Occurrences (Support)'!$W$4:$W$166))</f>
        <v>0</v>
      </c>
      <c r="S10" s="4">
        <f>SUMPRODUCT(('Monthly Occurrences (Support)'!$C$4:$C$166=$A10)*('Monthly Occurrences (Support)'!$D$4:$D$166="Physical")*('Monthly Occurrences (Support)'!$X$4:$X$166))</f>
        <v>0</v>
      </c>
      <c r="T10" s="4">
        <f>SUMPRODUCT(('Monthly Occurrences (Support)'!$C$4:$C$166=$A10)*('Monthly Occurrences (Support)'!$D$4:$D$166="Physical")*('Monthly Occurrences (Support)'!$Y$4:$Y$166))</f>
        <v>0</v>
      </c>
      <c r="U10" s="4">
        <f>SUMPRODUCT(('Monthly Occurrences (Support)'!$C$4:$C$166=$A10)*('Monthly Occurrences (Support)'!$D$4:$D$166="Physical")*('Monthly Occurrences (Support)'!$Z$4:$Z$166))</f>
        <v>0</v>
      </c>
      <c r="V10" s="4">
        <f>SUMPRODUCT(('Monthly Occurrences (Support)'!$C$4:$C$166=$A10)*('Monthly Occurrences (Support)'!$D$4:$D$166="Physical")*('Monthly Occurrences (Support)'!$AA$4:$AA$166))</f>
        <v>0</v>
      </c>
      <c r="W10" s="4">
        <f>SUMPRODUCT(('Monthly Occurrences (Support)'!$C$4:$C$166=$A10)*('Monthly Occurrences (Support)'!$D$4:$D$166="Physical")*('Monthly Occurrences (Support)'!$AB$4:$AB$166))</f>
        <v>0</v>
      </c>
    </row>
    <row r="11" spans="1:23" x14ac:dyDescent="0.25">
      <c r="A11" s="16" t="s">
        <v>39</v>
      </c>
      <c r="B11" s="7">
        <f>SUMPRODUCT(('Monthly Occurrences (Support)'!$C$4:$C$166=$A11)*('Monthly Occurrences (Support)'!$D$4:$D$166="Physical")*('Monthly Occurrences (Support)'!$G$4:$G$166))</f>
        <v>0</v>
      </c>
      <c r="C11" s="7">
        <f>SUMPRODUCT(('Monthly Occurrences (Support)'!$C$4:$C$166=$A11)*('Monthly Occurrences (Support)'!$D$4:$D$166="Physical")*('Monthly Occurrences (Support)'!$H$4:$H$166))</f>
        <v>0</v>
      </c>
      <c r="D11" s="7">
        <f>SUMPRODUCT(('Monthly Occurrences (Support)'!$C$4:$C$166=$A11)*('Monthly Occurrences (Support)'!$D$4:$D$166="Physical")*('Monthly Occurrences (Support)'!$I$4:$I$166))</f>
        <v>0</v>
      </c>
      <c r="E11" s="7">
        <f>SUMPRODUCT(('Monthly Occurrences (Support)'!$C$4:$C$166=$A11)*('Monthly Occurrences (Support)'!$D$4:$D$166="Physical")*('Monthly Occurrences (Support)'!$J$4:$J$166))</f>
        <v>0</v>
      </c>
      <c r="F11" s="7">
        <f>SUMPRODUCT(('Monthly Occurrences (Support)'!$C$4:$C$166=$A11)*('Monthly Occurrences (Support)'!$D$4:$D$166="Physical")*('Monthly Occurrences (Support)'!$K$4:$K$166))</f>
        <v>2</v>
      </c>
      <c r="G11" s="7">
        <f>SUMPRODUCT(('Monthly Occurrences (Support)'!$C$4:$C$166=$A11)*('Monthly Occurrences (Support)'!$D$4:$D$166="Physical")*('Monthly Occurrences (Support)'!$L$4:$L$166))</f>
        <v>5</v>
      </c>
      <c r="H11" s="7">
        <f>SUMPRODUCT(('Monthly Occurrences (Support)'!$C$4:$C$166=$A11)*('Monthly Occurrences (Support)'!$D$4:$D$166="Physical")*('Monthly Occurrences (Support)'!$M$4:$M$166))</f>
        <v>4</v>
      </c>
      <c r="I11" s="7">
        <f>SUMPRODUCT(('Monthly Occurrences (Support)'!$C$4:$C$166=$A11)*('Monthly Occurrences (Support)'!$D$4:$D$166="Physical")*('Monthly Occurrences (Support)'!$N$4:$N$166))</f>
        <v>4</v>
      </c>
      <c r="J11" s="7">
        <f>SUMPRODUCT(('Monthly Occurrences (Support)'!$C$4:$C$166=$A11)*('Monthly Occurrences (Support)'!$D$4:$D$166="Physical")*('Monthly Occurrences (Support)'!$O$4:$O$166))</f>
        <v>4</v>
      </c>
      <c r="K11" s="7">
        <f>SUMPRODUCT(('Monthly Occurrences (Support)'!$C$4:$C$166=$A11)*('Monthly Occurrences (Support)'!$D$4:$D$166="Physical")*('Monthly Occurrences (Support)'!$P$4:$P$166))</f>
        <v>0</v>
      </c>
      <c r="L11" s="7">
        <f>SUMPRODUCT(('Monthly Occurrences (Support)'!$C$4:$C$166=$A11)*('Monthly Occurrences (Support)'!$D$4:$D$166="Physical")*('Monthly Occurrences (Support)'!$Q$4:$Q$166))</f>
        <v>0</v>
      </c>
      <c r="M11" s="7">
        <f>SUMPRODUCT(('Monthly Occurrences (Support)'!$C$4:$C$166=$A11)*('Monthly Occurrences (Support)'!$D$4:$D$166="Physical")*('Monthly Occurrences (Support)'!$R$4:$R$166))</f>
        <v>0</v>
      </c>
      <c r="N11" s="7">
        <f>SUMPRODUCT(('Monthly Occurrences (Support)'!$C$4:$C$166=$A11)*('Monthly Occurrences (Support)'!$D$4:$D$166="Physical")*('Monthly Occurrences (Support)'!$S$4:$S$166))</f>
        <v>0</v>
      </c>
      <c r="O11" s="7">
        <f>SUMPRODUCT(('Monthly Occurrences (Support)'!$C$4:$C$166=$A11)*('Monthly Occurrences (Support)'!$D$4:$D$166="Physical")*('Monthly Occurrences (Support)'!$T$4:$T$166))</f>
        <v>0</v>
      </c>
      <c r="P11" s="7">
        <f>SUMPRODUCT(('Monthly Occurrences (Support)'!$C$4:$C$166=$A11)*('Monthly Occurrences (Support)'!$D$4:$D$166="Physical")*('Monthly Occurrences (Support)'!$U$4:$U$166))</f>
        <v>0</v>
      </c>
      <c r="Q11" s="7">
        <f>SUMPRODUCT(('Monthly Occurrences (Support)'!$C$4:$C$166=$A11)*('Monthly Occurrences (Support)'!$D$4:$D$166="Physical")*('Monthly Occurrences (Support)'!$V$4:$V$166))</f>
        <v>0</v>
      </c>
      <c r="R11" s="7">
        <f>SUMPRODUCT(('Monthly Occurrences (Support)'!$C$4:$C$166=$A11)*('Monthly Occurrences (Support)'!$D$4:$D$166="Physical")*('Monthly Occurrences (Support)'!$W$4:$W$166))</f>
        <v>0</v>
      </c>
      <c r="S11" s="7">
        <f>SUMPRODUCT(('Monthly Occurrences (Support)'!$C$4:$C$166=$A11)*('Monthly Occurrences (Support)'!$D$4:$D$166="Physical")*('Monthly Occurrences (Support)'!$X$4:$X$166))</f>
        <v>0</v>
      </c>
      <c r="T11" s="7">
        <f>SUMPRODUCT(('Monthly Occurrences (Support)'!$C$4:$C$166=$A11)*('Monthly Occurrences (Support)'!$D$4:$D$166="Physical")*('Monthly Occurrences (Support)'!$Y$4:$Y$166))</f>
        <v>0</v>
      </c>
      <c r="U11" s="7">
        <f>SUMPRODUCT(('Monthly Occurrences (Support)'!$C$4:$C$166=$A11)*('Monthly Occurrences (Support)'!$D$4:$D$166="Physical")*('Monthly Occurrences (Support)'!$Z$4:$Z$166))</f>
        <v>0</v>
      </c>
      <c r="V11" s="7">
        <f>SUMPRODUCT(('Monthly Occurrences (Support)'!$C$4:$C$166=$A11)*('Monthly Occurrences (Support)'!$D$4:$D$166="Physical")*('Monthly Occurrences (Support)'!$AA$4:$AA$166))</f>
        <v>0</v>
      </c>
      <c r="W11" s="7">
        <f>SUMPRODUCT(('Monthly Occurrences (Support)'!$C$4:$C$166=$A11)*('Monthly Occurrences (Support)'!$D$4:$D$166="Physical")*('Monthly Occurrences (Support)'!$AB$4:$AB$166))</f>
        <v>0</v>
      </c>
    </row>
    <row r="12" spans="1:23" x14ac:dyDescent="0.25">
      <c r="A12" s="15" t="s">
        <v>40</v>
      </c>
      <c r="B12" s="4">
        <f>SUMPRODUCT(('Monthly Occurrences (Support)'!$C$4:$C$166=$A12)*('Monthly Occurrences (Support)'!$D$4:$D$166="Physical")*('Monthly Occurrences (Support)'!$G$4:$G$166))</f>
        <v>0</v>
      </c>
      <c r="C12" s="4">
        <f>SUMPRODUCT(('Monthly Occurrences (Support)'!$C$4:$C$166=$A12)*('Monthly Occurrences (Support)'!$D$4:$D$166="Physical")*('Monthly Occurrences (Support)'!$H$4:$H$166))</f>
        <v>0</v>
      </c>
      <c r="D12" s="4">
        <f>SUMPRODUCT(('Monthly Occurrences (Support)'!$C$4:$C$166=$A12)*('Monthly Occurrences (Support)'!$D$4:$D$166="Physical")*('Monthly Occurrences (Support)'!$I$4:$I$166))</f>
        <v>0</v>
      </c>
      <c r="E12" s="4">
        <f>SUMPRODUCT(('Monthly Occurrences (Support)'!$C$4:$C$166=$A12)*('Monthly Occurrences (Support)'!$D$4:$D$166="Physical")*('Monthly Occurrences (Support)'!$J$4:$J$166))</f>
        <v>0</v>
      </c>
      <c r="F12" s="4">
        <f>SUMPRODUCT(('Monthly Occurrences (Support)'!$C$4:$C$166=$A12)*('Monthly Occurrences (Support)'!$D$4:$D$166="Physical")*('Monthly Occurrences (Support)'!$K$4:$K$166))</f>
        <v>0</v>
      </c>
      <c r="G12" s="4">
        <f>SUMPRODUCT(('Monthly Occurrences (Support)'!$C$4:$C$166=$A12)*('Monthly Occurrences (Support)'!$D$4:$D$166="Physical")*('Monthly Occurrences (Support)'!$L$4:$L$166))</f>
        <v>0</v>
      </c>
      <c r="H12" s="4">
        <f>SUMPRODUCT(('Monthly Occurrences (Support)'!$C$4:$C$166=$A12)*('Monthly Occurrences (Support)'!$D$4:$D$166="Physical")*('Monthly Occurrences (Support)'!$M$4:$M$166))</f>
        <v>0</v>
      </c>
      <c r="I12" s="4">
        <f>SUMPRODUCT(('Monthly Occurrences (Support)'!$C$4:$C$166=$A12)*('Monthly Occurrences (Support)'!$D$4:$D$166="Physical")*('Monthly Occurrences (Support)'!$N$4:$N$166))</f>
        <v>0</v>
      </c>
      <c r="J12" s="4">
        <f>SUMPRODUCT(('Monthly Occurrences (Support)'!$C$4:$C$166=$A12)*('Monthly Occurrences (Support)'!$D$4:$D$166="Physical")*('Monthly Occurrences (Support)'!$O$4:$O$166))</f>
        <v>0</v>
      </c>
      <c r="K12" s="4">
        <f>SUMPRODUCT(('Monthly Occurrences (Support)'!$C$4:$C$166=$A12)*('Monthly Occurrences (Support)'!$D$4:$D$166="Physical")*('Monthly Occurrences (Support)'!$P$4:$P$166))</f>
        <v>0</v>
      </c>
      <c r="L12" s="4">
        <f>SUMPRODUCT(('Monthly Occurrences (Support)'!$C$4:$C$166=$A12)*('Monthly Occurrences (Support)'!$D$4:$D$166="Physical")*('Monthly Occurrences (Support)'!$Q$4:$Q$166))</f>
        <v>0</v>
      </c>
      <c r="M12" s="4">
        <f>SUMPRODUCT(('Monthly Occurrences (Support)'!$C$4:$C$166=$A12)*('Monthly Occurrences (Support)'!$D$4:$D$166="Physical")*('Monthly Occurrences (Support)'!$R$4:$R$166))</f>
        <v>0</v>
      </c>
      <c r="N12" s="4">
        <f>SUMPRODUCT(('Monthly Occurrences (Support)'!$C$4:$C$166=$A12)*('Monthly Occurrences (Support)'!$D$4:$D$166="Physical")*('Monthly Occurrences (Support)'!$S$4:$S$166))</f>
        <v>0</v>
      </c>
      <c r="O12" s="4">
        <f>SUMPRODUCT(('Monthly Occurrences (Support)'!$C$4:$C$166=$A12)*('Monthly Occurrences (Support)'!$D$4:$D$166="Physical")*('Monthly Occurrences (Support)'!$T$4:$T$166))</f>
        <v>0</v>
      </c>
      <c r="P12" s="4">
        <f>SUMPRODUCT(('Monthly Occurrences (Support)'!$C$4:$C$166=$A12)*('Monthly Occurrences (Support)'!$D$4:$D$166="Physical")*('Monthly Occurrences (Support)'!$U$4:$U$166))</f>
        <v>0</v>
      </c>
      <c r="Q12" s="4">
        <f>SUMPRODUCT(('Monthly Occurrences (Support)'!$C$4:$C$166=$A12)*('Monthly Occurrences (Support)'!$D$4:$D$166="Physical")*('Monthly Occurrences (Support)'!$V$4:$V$166))</f>
        <v>0</v>
      </c>
      <c r="R12" s="4">
        <f>SUMPRODUCT(('Monthly Occurrences (Support)'!$C$4:$C$166=$A12)*('Monthly Occurrences (Support)'!$D$4:$D$166="Physical")*('Monthly Occurrences (Support)'!$W$4:$W$166))</f>
        <v>0</v>
      </c>
      <c r="S12" s="4">
        <f>SUMPRODUCT(('Monthly Occurrences (Support)'!$C$4:$C$166=$A12)*('Monthly Occurrences (Support)'!$D$4:$D$166="Physical")*('Monthly Occurrences (Support)'!$X$4:$X$166))</f>
        <v>0</v>
      </c>
      <c r="T12" s="4">
        <f>SUMPRODUCT(('Monthly Occurrences (Support)'!$C$4:$C$166=$A12)*('Monthly Occurrences (Support)'!$D$4:$D$166="Physical")*('Monthly Occurrences (Support)'!$Y$4:$Y$166))</f>
        <v>0</v>
      </c>
      <c r="U12" s="4">
        <f>SUMPRODUCT(('Monthly Occurrences (Support)'!$C$4:$C$166=$A12)*('Monthly Occurrences (Support)'!$D$4:$D$166="Physical")*('Monthly Occurrences (Support)'!$Z$4:$Z$166))</f>
        <v>0</v>
      </c>
      <c r="V12" s="4">
        <f>SUMPRODUCT(('Monthly Occurrences (Support)'!$C$4:$C$166=$A12)*('Monthly Occurrences (Support)'!$D$4:$D$166="Physical")*('Monthly Occurrences (Support)'!$AA$4:$AA$166))</f>
        <v>0</v>
      </c>
      <c r="W12" s="4">
        <f>SUMPRODUCT(('Monthly Occurrences (Support)'!$C$4:$C$166=$A12)*('Monthly Occurrences (Support)'!$D$4:$D$166="Physical")*('Monthly Occurrences (Support)'!$AB$4:$AB$166))</f>
        <v>0</v>
      </c>
    </row>
    <row r="13" spans="1:23" x14ac:dyDescent="0.25">
      <c r="A13" s="16" t="s">
        <v>41</v>
      </c>
      <c r="B13" s="7">
        <f>SUMPRODUCT(('Monthly Occurrences (Support)'!$C$4:$C$166=$A13)*('Monthly Occurrences (Support)'!$D$4:$D$166="Physical")*('Monthly Occurrences (Support)'!$G$4:$G$166))</f>
        <v>0</v>
      </c>
      <c r="C13" s="7">
        <f>SUMPRODUCT(('Monthly Occurrences (Support)'!$C$4:$C$166=$A13)*('Monthly Occurrences (Support)'!$D$4:$D$166="Physical")*('Monthly Occurrences (Support)'!$H$4:$H$166))</f>
        <v>0</v>
      </c>
      <c r="D13" s="7">
        <f>SUMPRODUCT(('Monthly Occurrences (Support)'!$C$4:$C$166=$A13)*('Monthly Occurrences (Support)'!$D$4:$D$166="Physical")*('Monthly Occurrences (Support)'!$I$4:$I$166))</f>
        <v>0</v>
      </c>
      <c r="E13" s="7">
        <f>SUMPRODUCT(('Monthly Occurrences (Support)'!$C$4:$C$166=$A13)*('Monthly Occurrences (Support)'!$D$4:$D$166="Physical")*('Monthly Occurrences (Support)'!$J$4:$J$166))</f>
        <v>0</v>
      </c>
      <c r="F13" s="7">
        <f>SUMPRODUCT(('Monthly Occurrences (Support)'!$C$4:$C$166=$A13)*('Monthly Occurrences (Support)'!$D$4:$D$166="Physical")*('Monthly Occurrences (Support)'!$K$4:$K$166))</f>
        <v>0</v>
      </c>
      <c r="G13" s="7">
        <f>SUMPRODUCT(('Monthly Occurrences (Support)'!$C$4:$C$166=$A13)*('Monthly Occurrences (Support)'!$D$4:$D$166="Physical")*('Monthly Occurrences (Support)'!$L$4:$L$166))</f>
        <v>4</v>
      </c>
      <c r="H13" s="7">
        <f>SUMPRODUCT(('Monthly Occurrences (Support)'!$C$4:$C$166=$A13)*('Monthly Occurrences (Support)'!$D$4:$D$166="Physical")*('Monthly Occurrences (Support)'!$M$4:$M$166))</f>
        <v>5</v>
      </c>
      <c r="I13" s="7">
        <f>SUMPRODUCT(('Monthly Occurrences (Support)'!$C$4:$C$166=$A13)*('Monthly Occurrences (Support)'!$D$4:$D$166="Physical")*('Monthly Occurrences (Support)'!$N$4:$N$166))</f>
        <v>7</v>
      </c>
      <c r="J13" s="7">
        <f>SUMPRODUCT(('Monthly Occurrences (Support)'!$C$4:$C$166=$A13)*('Monthly Occurrences (Support)'!$D$4:$D$166="Physical")*('Monthly Occurrences (Support)'!$O$4:$O$166))</f>
        <v>8</v>
      </c>
      <c r="K13" s="7">
        <f>SUMPRODUCT(('Monthly Occurrences (Support)'!$C$4:$C$166=$A13)*('Monthly Occurrences (Support)'!$D$4:$D$166="Physical")*('Monthly Occurrences (Support)'!$P$4:$P$166))</f>
        <v>10</v>
      </c>
      <c r="L13" s="7">
        <f>SUMPRODUCT(('Monthly Occurrences (Support)'!$C$4:$C$166=$A13)*('Monthly Occurrences (Support)'!$D$4:$D$166="Physical")*('Monthly Occurrences (Support)'!$Q$4:$Q$166))</f>
        <v>7</v>
      </c>
      <c r="M13" s="7">
        <f>SUMPRODUCT(('Monthly Occurrences (Support)'!$C$4:$C$166=$A13)*('Monthly Occurrences (Support)'!$D$4:$D$166="Physical")*('Monthly Occurrences (Support)'!$R$4:$R$166))</f>
        <v>5</v>
      </c>
      <c r="N13" s="7">
        <f>SUMPRODUCT(('Monthly Occurrences (Support)'!$C$4:$C$166=$A13)*('Monthly Occurrences (Support)'!$D$4:$D$166="Physical")*('Monthly Occurrences (Support)'!$S$4:$S$166))</f>
        <v>4</v>
      </c>
      <c r="O13" s="7">
        <f>SUMPRODUCT(('Monthly Occurrences (Support)'!$C$4:$C$166=$A13)*('Monthly Occurrences (Support)'!$D$4:$D$166="Physical")*('Monthly Occurrences (Support)'!$T$4:$T$166))</f>
        <v>0</v>
      </c>
      <c r="P13" s="7">
        <f>SUMPRODUCT(('Monthly Occurrences (Support)'!$C$4:$C$166=$A13)*('Monthly Occurrences (Support)'!$D$4:$D$166="Physical")*('Monthly Occurrences (Support)'!$U$4:$U$166))</f>
        <v>0</v>
      </c>
      <c r="Q13" s="7">
        <f>SUMPRODUCT(('Monthly Occurrences (Support)'!$C$4:$C$166=$A13)*('Monthly Occurrences (Support)'!$D$4:$D$166="Physical")*('Monthly Occurrences (Support)'!$V$4:$V$166))</f>
        <v>0</v>
      </c>
      <c r="R13" s="7">
        <f>SUMPRODUCT(('Monthly Occurrences (Support)'!$C$4:$C$166=$A13)*('Monthly Occurrences (Support)'!$D$4:$D$166="Physical")*('Monthly Occurrences (Support)'!$W$4:$W$166))</f>
        <v>0</v>
      </c>
      <c r="S13" s="7">
        <f>SUMPRODUCT(('Monthly Occurrences (Support)'!$C$4:$C$166=$A13)*('Monthly Occurrences (Support)'!$D$4:$D$166="Physical")*('Monthly Occurrences (Support)'!$X$4:$X$166))</f>
        <v>0</v>
      </c>
      <c r="T13" s="7">
        <f>SUMPRODUCT(('Monthly Occurrences (Support)'!$C$4:$C$166=$A13)*('Monthly Occurrences (Support)'!$D$4:$D$166="Physical")*('Monthly Occurrences (Support)'!$Y$4:$Y$166))</f>
        <v>0</v>
      </c>
      <c r="U13" s="7">
        <f>SUMPRODUCT(('Monthly Occurrences (Support)'!$C$4:$C$166=$A13)*('Monthly Occurrences (Support)'!$D$4:$D$166="Physical")*('Monthly Occurrences (Support)'!$Z$4:$Z$166))</f>
        <v>0</v>
      </c>
      <c r="V13" s="7">
        <f>SUMPRODUCT(('Monthly Occurrences (Support)'!$C$4:$C$166=$A13)*('Monthly Occurrences (Support)'!$D$4:$D$166="Physical")*('Monthly Occurrences (Support)'!$AA$4:$AA$166))</f>
        <v>0</v>
      </c>
      <c r="W13" s="7">
        <f>SUMPRODUCT(('Monthly Occurrences (Support)'!$C$4:$C$166=$A13)*('Monthly Occurrences (Support)'!$D$4:$D$166="Physical")*('Monthly Occurrences (Support)'!$AB$4:$AB$166))</f>
        <v>0</v>
      </c>
    </row>
    <row r="14" spans="1:23" x14ac:dyDescent="0.25">
      <c r="A14" s="15" t="s">
        <v>42</v>
      </c>
      <c r="B14" s="4">
        <f>SUMPRODUCT(('Monthly Occurrences (Support)'!$C$4:$C$166=$A14)*('Monthly Occurrences (Support)'!$D$4:$D$166="Physical")*('Monthly Occurrences (Support)'!$G$4:$G$166))</f>
        <v>0</v>
      </c>
      <c r="C14" s="4">
        <f>SUMPRODUCT(('Monthly Occurrences (Support)'!$C$4:$C$166=$A14)*('Monthly Occurrences (Support)'!$D$4:$D$166="Physical")*('Monthly Occurrences (Support)'!$H$4:$H$166))</f>
        <v>0</v>
      </c>
      <c r="D14" s="4">
        <f>SUMPRODUCT(('Monthly Occurrences (Support)'!$C$4:$C$166=$A14)*('Monthly Occurrences (Support)'!$D$4:$D$166="Physical")*('Monthly Occurrences (Support)'!$I$4:$I$166))</f>
        <v>0</v>
      </c>
      <c r="E14" s="4">
        <f>SUMPRODUCT(('Monthly Occurrences (Support)'!$C$4:$C$166=$A14)*('Monthly Occurrences (Support)'!$D$4:$D$166="Physical")*('Monthly Occurrences (Support)'!$J$4:$J$166))</f>
        <v>0</v>
      </c>
      <c r="F14" s="4">
        <f>SUMPRODUCT(('Monthly Occurrences (Support)'!$C$4:$C$166=$A14)*('Monthly Occurrences (Support)'!$D$4:$D$166="Physical")*('Monthly Occurrences (Support)'!$K$4:$K$166))</f>
        <v>0</v>
      </c>
      <c r="G14" s="4">
        <f>SUMPRODUCT(('Monthly Occurrences (Support)'!$C$4:$C$166=$A14)*('Monthly Occurrences (Support)'!$D$4:$D$166="Physical")*('Monthly Occurrences (Support)'!$L$4:$L$166))</f>
        <v>0</v>
      </c>
      <c r="H14" s="4">
        <f>SUMPRODUCT(('Monthly Occurrences (Support)'!$C$4:$C$166=$A14)*('Monthly Occurrences (Support)'!$D$4:$D$166="Physical")*('Monthly Occurrences (Support)'!$M$4:$M$166))</f>
        <v>0</v>
      </c>
      <c r="I14" s="4">
        <f>SUMPRODUCT(('Monthly Occurrences (Support)'!$C$4:$C$166=$A14)*('Monthly Occurrences (Support)'!$D$4:$D$166="Physical")*('Monthly Occurrences (Support)'!$N$4:$N$166))</f>
        <v>0</v>
      </c>
      <c r="J14" s="4">
        <f>SUMPRODUCT(('Monthly Occurrences (Support)'!$C$4:$C$166=$A14)*('Monthly Occurrences (Support)'!$D$4:$D$166="Physical")*('Monthly Occurrences (Support)'!$O$4:$O$166))</f>
        <v>1</v>
      </c>
      <c r="K14" s="4">
        <f>SUMPRODUCT(('Monthly Occurrences (Support)'!$C$4:$C$166=$A14)*('Monthly Occurrences (Support)'!$D$4:$D$166="Physical")*('Monthly Occurrences (Support)'!$P$4:$P$166))</f>
        <v>5</v>
      </c>
      <c r="L14" s="4">
        <f>SUMPRODUCT(('Monthly Occurrences (Support)'!$C$4:$C$166=$A14)*('Monthly Occurrences (Support)'!$D$4:$D$166="Physical")*('Monthly Occurrences (Support)'!$Q$4:$Q$166))</f>
        <v>4</v>
      </c>
      <c r="M14" s="4">
        <f>SUMPRODUCT(('Monthly Occurrences (Support)'!$C$4:$C$166=$A14)*('Monthly Occurrences (Support)'!$D$4:$D$166="Physical")*('Monthly Occurrences (Support)'!$R$4:$R$166))</f>
        <v>4</v>
      </c>
      <c r="N14" s="4">
        <f>SUMPRODUCT(('Monthly Occurrences (Support)'!$C$4:$C$166=$A14)*('Monthly Occurrences (Support)'!$D$4:$D$166="Physical")*('Monthly Occurrences (Support)'!$S$4:$S$166))</f>
        <v>5</v>
      </c>
      <c r="O14" s="4">
        <f>SUMPRODUCT(('Monthly Occurrences (Support)'!$C$4:$C$166=$A14)*('Monthly Occurrences (Support)'!$D$4:$D$166="Physical")*('Monthly Occurrences (Support)'!$T$4:$T$166))</f>
        <v>4</v>
      </c>
      <c r="P14" s="4">
        <f>SUMPRODUCT(('Monthly Occurrences (Support)'!$C$4:$C$166=$A14)*('Monthly Occurrences (Support)'!$D$4:$D$166="Physical")*('Monthly Occurrences (Support)'!$U$4:$U$166))</f>
        <v>2</v>
      </c>
      <c r="Q14" s="4">
        <f>SUMPRODUCT(('Monthly Occurrences (Support)'!$C$4:$C$166=$A14)*('Monthly Occurrences (Support)'!$D$4:$D$166="Physical")*('Monthly Occurrences (Support)'!$V$4:$V$166))</f>
        <v>0</v>
      </c>
      <c r="R14" s="4">
        <f>SUMPRODUCT(('Monthly Occurrences (Support)'!$C$4:$C$166=$A14)*('Monthly Occurrences (Support)'!$D$4:$D$166="Physical")*('Monthly Occurrences (Support)'!$W$4:$W$166))</f>
        <v>0</v>
      </c>
      <c r="S14" s="4">
        <f>SUMPRODUCT(('Monthly Occurrences (Support)'!$C$4:$C$166=$A14)*('Monthly Occurrences (Support)'!$D$4:$D$166="Physical")*('Monthly Occurrences (Support)'!$X$4:$X$166))</f>
        <v>0</v>
      </c>
      <c r="T14" s="4">
        <f>SUMPRODUCT(('Monthly Occurrences (Support)'!$C$4:$C$166=$A14)*('Monthly Occurrences (Support)'!$D$4:$D$166="Physical")*('Monthly Occurrences (Support)'!$Y$4:$Y$166))</f>
        <v>0</v>
      </c>
      <c r="U14" s="4">
        <f>SUMPRODUCT(('Monthly Occurrences (Support)'!$C$4:$C$166=$A14)*('Monthly Occurrences (Support)'!$D$4:$D$166="Physical")*('Monthly Occurrences (Support)'!$Z$4:$Z$166))</f>
        <v>0</v>
      </c>
      <c r="V14" s="4">
        <f>SUMPRODUCT(('Monthly Occurrences (Support)'!$C$4:$C$166=$A14)*('Monthly Occurrences (Support)'!$D$4:$D$166="Physical")*('Monthly Occurrences (Support)'!$AA$4:$AA$166))</f>
        <v>0</v>
      </c>
      <c r="W14" s="4">
        <f>SUMPRODUCT(('Monthly Occurrences (Support)'!$C$4:$C$166=$A14)*('Monthly Occurrences (Support)'!$D$4:$D$166="Physical")*('Monthly Occurrences (Support)'!$AB$4:$AB$166))</f>
        <v>0</v>
      </c>
    </row>
    <row r="15" spans="1:23" x14ac:dyDescent="0.25">
      <c r="A15" s="16" t="s">
        <v>43</v>
      </c>
      <c r="B15" s="7">
        <f>SUMPRODUCT(('Monthly Occurrences (Support)'!$C$4:$C$166=$A15)*('Monthly Occurrences (Support)'!$D$4:$D$166="Physical")*('Monthly Occurrences (Support)'!$G$4:$G$166))</f>
        <v>0</v>
      </c>
      <c r="C15" s="7">
        <f>SUMPRODUCT(('Monthly Occurrences (Support)'!$C$4:$C$166=$A15)*('Monthly Occurrences (Support)'!$D$4:$D$166="Physical")*('Monthly Occurrences (Support)'!$H$4:$H$166))</f>
        <v>0</v>
      </c>
      <c r="D15" s="7">
        <f>SUMPRODUCT(('Monthly Occurrences (Support)'!$C$4:$C$166=$A15)*('Monthly Occurrences (Support)'!$D$4:$D$166="Physical")*('Monthly Occurrences (Support)'!$I$4:$I$166))</f>
        <v>0</v>
      </c>
      <c r="E15" s="7">
        <f>SUMPRODUCT(('Monthly Occurrences (Support)'!$C$4:$C$166=$A15)*('Monthly Occurrences (Support)'!$D$4:$D$166="Physical")*('Monthly Occurrences (Support)'!$J$4:$J$166))</f>
        <v>0</v>
      </c>
      <c r="F15" s="7">
        <f>SUMPRODUCT(('Monthly Occurrences (Support)'!$C$4:$C$166=$A15)*('Monthly Occurrences (Support)'!$D$4:$D$166="Physical")*('Monthly Occurrences (Support)'!$K$4:$K$166))</f>
        <v>0</v>
      </c>
      <c r="G15" s="7">
        <f>SUMPRODUCT(('Monthly Occurrences (Support)'!$C$4:$C$166=$A15)*('Monthly Occurrences (Support)'!$D$4:$D$166="Physical")*('Monthly Occurrences (Support)'!$L$4:$L$166))</f>
        <v>0</v>
      </c>
      <c r="H15" s="7">
        <f>SUMPRODUCT(('Monthly Occurrences (Support)'!$C$4:$C$166=$A15)*('Monthly Occurrences (Support)'!$D$4:$D$166="Physical")*('Monthly Occurrences (Support)'!$M$4:$M$166))</f>
        <v>0</v>
      </c>
      <c r="I15" s="7">
        <f>SUMPRODUCT(('Monthly Occurrences (Support)'!$C$4:$C$166=$A15)*('Monthly Occurrences (Support)'!$D$4:$D$166="Physical")*('Monthly Occurrences (Support)'!$N$4:$N$166))</f>
        <v>0</v>
      </c>
      <c r="J15" s="7">
        <f>SUMPRODUCT(('Monthly Occurrences (Support)'!$C$4:$C$166=$A15)*('Monthly Occurrences (Support)'!$D$4:$D$166="Physical")*('Monthly Occurrences (Support)'!$O$4:$O$166))</f>
        <v>0</v>
      </c>
      <c r="K15" s="7">
        <f>SUMPRODUCT(('Monthly Occurrences (Support)'!$C$4:$C$166=$A15)*('Monthly Occurrences (Support)'!$D$4:$D$166="Physical")*('Monthly Occurrences (Support)'!$P$4:$P$166))</f>
        <v>0</v>
      </c>
      <c r="L15" s="7">
        <f>SUMPRODUCT(('Monthly Occurrences (Support)'!$C$4:$C$166=$A15)*('Monthly Occurrences (Support)'!$D$4:$D$166="Physical")*('Monthly Occurrences (Support)'!$Q$4:$Q$166))</f>
        <v>0</v>
      </c>
      <c r="M15" s="7">
        <f>SUMPRODUCT(('Monthly Occurrences (Support)'!$C$4:$C$166=$A15)*('Monthly Occurrences (Support)'!$D$4:$D$166="Physical")*('Monthly Occurrences (Support)'!$R$4:$R$166))</f>
        <v>0</v>
      </c>
      <c r="N15" s="7">
        <f>SUMPRODUCT(('Monthly Occurrences (Support)'!$C$4:$C$166=$A15)*('Monthly Occurrences (Support)'!$D$4:$D$166="Physical")*('Monthly Occurrences (Support)'!$S$4:$S$166))</f>
        <v>0</v>
      </c>
      <c r="O15" s="7">
        <f>SUMPRODUCT(('Monthly Occurrences (Support)'!$C$4:$C$166=$A15)*('Monthly Occurrences (Support)'!$D$4:$D$166="Physical")*('Monthly Occurrences (Support)'!$T$4:$T$166))</f>
        <v>0</v>
      </c>
      <c r="P15" s="7">
        <f>SUMPRODUCT(('Monthly Occurrences (Support)'!$C$4:$C$166=$A15)*('Monthly Occurrences (Support)'!$D$4:$D$166="Physical")*('Monthly Occurrences (Support)'!$U$4:$U$166))</f>
        <v>0</v>
      </c>
      <c r="Q15" s="7">
        <f>SUMPRODUCT(('Monthly Occurrences (Support)'!$C$4:$C$166=$A15)*('Monthly Occurrences (Support)'!$D$4:$D$166="Physical")*('Monthly Occurrences (Support)'!$V$4:$V$166))</f>
        <v>0</v>
      </c>
      <c r="R15" s="7">
        <f>SUMPRODUCT(('Monthly Occurrences (Support)'!$C$4:$C$166=$A15)*('Monthly Occurrences (Support)'!$D$4:$D$166="Physical")*('Monthly Occurrences (Support)'!$W$4:$W$166))</f>
        <v>0</v>
      </c>
      <c r="S15" s="7">
        <f>SUMPRODUCT(('Monthly Occurrences (Support)'!$C$4:$C$166=$A15)*('Monthly Occurrences (Support)'!$D$4:$D$166="Physical")*('Monthly Occurrences (Support)'!$X$4:$X$166))</f>
        <v>0</v>
      </c>
      <c r="T15" s="7">
        <f>SUMPRODUCT(('Monthly Occurrences (Support)'!$C$4:$C$166=$A15)*('Monthly Occurrences (Support)'!$D$4:$D$166="Physical")*('Monthly Occurrences (Support)'!$Y$4:$Y$166))</f>
        <v>0</v>
      </c>
      <c r="U15" s="7">
        <f>SUMPRODUCT(('Monthly Occurrences (Support)'!$C$4:$C$166=$A15)*('Monthly Occurrences (Support)'!$D$4:$D$166="Physical")*('Monthly Occurrences (Support)'!$Z$4:$Z$166))</f>
        <v>0</v>
      </c>
      <c r="V15" s="7">
        <f>SUMPRODUCT(('Monthly Occurrences (Support)'!$C$4:$C$166=$A15)*('Monthly Occurrences (Support)'!$D$4:$D$166="Physical")*('Monthly Occurrences (Support)'!$AA$4:$AA$166))</f>
        <v>0</v>
      </c>
      <c r="W15" s="7">
        <f>SUMPRODUCT(('Monthly Occurrences (Support)'!$C$4:$C$166=$A15)*('Monthly Occurrences (Support)'!$D$4:$D$166="Physical")*('Monthly Occurrences (Support)'!$AB$4:$AB$166))</f>
        <v>0</v>
      </c>
    </row>
    <row r="16" spans="1:23" x14ac:dyDescent="0.25">
      <c r="A16" s="15" t="s">
        <v>44</v>
      </c>
      <c r="B16" s="4">
        <f>SUMPRODUCT(('Monthly Occurrences (Support)'!$C$4:$C$166=$A16)*('Monthly Occurrences (Support)'!$D$4:$D$166="Physical")*('Monthly Occurrences (Support)'!$G$4:$G$166))</f>
        <v>4</v>
      </c>
      <c r="C16" s="4">
        <f>SUMPRODUCT(('Monthly Occurrences (Support)'!$C$4:$C$166=$A16)*('Monthly Occurrences (Support)'!$D$4:$D$166="Physical")*('Monthly Occurrences (Support)'!$H$4:$H$166))</f>
        <v>4</v>
      </c>
      <c r="D16" s="4">
        <f>SUMPRODUCT(('Monthly Occurrences (Support)'!$C$4:$C$166=$A16)*('Monthly Occurrences (Support)'!$D$4:$D$166="Physical")*('Monthly Occurrences (Support)'!$I$4:$I$166))</f>
        <v>5</v>
      </c>
      <c r="E16" s="4">
        <f>SUMPRODUCT(('Monthly Occurrences (Support)'!$C$4:$C$166=$A16)*('Monthly Occurrences (Support)'!$D$4:$D$166="Physical")*('Monthly Occurrences (Support)'!$J$4:$J$166))</f>
        <v>4</v>
      </c>
      <c r="F16" s="4">
        <f>SUMPRODUCT(('Monthly Occurrences (Support)'!$C$4:$C$166=$A16)*('Monthly Occurrences (Support)'!$D$4:$D$166="Physical")*('Monthly Occurrences (Support)'!$K$4:$K$166))</f>
        <v>4</v>
      </c>
      <c r="G16" s="4">
        <f>SUMPRODUCT(('Monthly Occurrences (Support)'!$C$4:$C$166=$A16)*('Monthly Occurrences (Support)'!$D$4:$D$166="Physical")*('Monthly Occurrences (Support)'!$L$4:$L$166))</f>
        <v>5</v>
      </c>
      <c r="H16" s="4">
        <f>SUMPRODUCT(('Monthly Occurrences (Support)'!$C$4:$C$166=$A16)*('Monthly Occurrences (Support)'!$D$4:$D$166="Physical")*('Monthly Occurrences (Support)'!$M$4:$M$166))</f>
        <v>9</v>
      </c>
      <c r="I16" s="4">
        <f>SUMPRODUCT(('Monthly Occurrences (Support)'!$C$4:$C$166=$A16)*('Monthly Occurrences (Support)'!$D$4:$D$166="Physical")*('Monthly Occurrences (Support)'!$N$4:$N$166))</f>
        <v>13</v>
      </c>
      <c r="J16" s="4">
        <f>SUMPRODUCT(('Monthly Occurrences (Support)'!$C$4:$C$166=$A16)*('Monthly Occurrences (Support)'!$D$4:$D$166="Physical")*('Monthly Occurrences (Support)'!$O$4:$O$166))</f>
        <v>36</v>
      </c>
      <c r="K16" s="4">
        <f>SUMPRODUCT(('Monthly Occurrences (Support)'!$C$4:$C$166=$A16)*('Monthly Occurrences (Support)'!$D$4:$D$166="Physical")*('Monthly Occurrences (Support)'!$P$4:$P$166))</f>
        <v>43</v>
      </c>
      <c r="L16" s="4">
        <f>SUMPRODUCT(('Monthly Occurrences (Support)'!$C$4:$C$166=$A16)*('Monthly Occurrences (Support)'!$D$4:$D$166="Physical")*('Monthly Occurrences (Support)'!$Q$4:$Q$166))</f>
        <v>38</v>
      </c>
      <c r="M16" s="4">
        <f>SUMPRODUCT(('Monthly Occurrences (Support)'!$C$4:$C$166=$A16)*('Monthly Occurrences (Support)'!$D$4:$D$166="Physical")*('Monthly Occurrences (Support)'!$R$4:$R$166))</f>
        <v>39</v>
      </c>
      <c r="N16" s="4">
        <f>SUMPRODUCT(('Monthly Occurrences (Support)'!$C$4:$C$166=$A16)*('Monthly Occurrences (Support)'!$D$4:$D$166="Physical")*('Monthly Occurrences (Support)'!$S$4:$S$166))</f>
        <v>3</v>
      </c>
      <c r="O16" s="4">
        <f>SUMPRODUCT(('Monthly Occurrences (Support)'!$C$4:$C$166=$A16)*('Monthly Occurrences (Support)'!$D$4:$D$166="Physical")*('Monthly Occurrences (Support)'!$T$4:$T$166))</f>
        <v>0</v>
      </c>
      <c r="P16" s="4">
        <f>SUMPRODUCT(('Monthly Occurrences (Support)'!$C$4:$C$166=$A16)*('Monthly Occurrences (Support)'!$D$4:$D$166="Physical")*('Monthly Occurrences (Support)'!$U$4:$U$166))</f>
        <v>0</v>
      </c>
      <c r="Q16" s="4">
        <f>SUMPRODUCT(('Monthly Occurrences (Support)'!$C$4:$C$166=$A16)*('Monthly Occurrences (Support)'!$D$4:$D$166="Physical")*('Monthly Occurrences (Support)'!$V$4:$V$166))</f>
        <v>0</v>
      </c>
      <c r="R16" s="4">
        <f>SUMPRODUCT(('Monthly Occurrences (Support)'!$C$4:$C$166=$A16)*('Monthly Occurrences (Support)'!$D$4:$D$166="Physical")*('Monthly Occurrences (Support)'!$W$4:$W$166))</f>
        <v>0</v>
      </c>
      <c r="S16" s="4">
        <f>SUMPRODUCT(('Monthly Occurrences (Support)'!$C$4:$C$166=$A16)*('Monthly Occurrences (Support)'!$D$4:$D$166="Physical")*('Monthly Occurrences (Support)'!$X$4:$X$166))</f>
        <v>0</v>
      </c>
      <c r="T16" s="4">
        <f>SUMPRODUCT(('Monthly Occurrences (Support)'!$C$4:$C$166=$A16)*('Monthly Occurrences (Support)'!$D$4:$D$166="Physical")*('Monthly Occurrences (Support)'!$Y$4:$Y$166))</f>
        <v>0</v>
      </c>
      <c r="U16" s="4">
        <f>SUMPRODUCT(('Monthly Occurrences (Support)'!$C$4:$C$166=$A16)*('Monthly Occurrences (Support)'!$D$4:$D$166="Physical")*('Monthly Occurrences (Support)'!$Z$4:$Z$166))</f>
        <v>0</v>
      </c>
      <c r="V16" s="4">
        <f>SUMPRODUCT(('Monthly Occurrences (Support)'!$C$4:$C$166=$A16)*('Monthly Occurrences (Support)'!$D$4:$D$166="Physical")*('Monthly Occurrences (Support)'!$AA$4:$AA$166))</f>
        <v>0</v>
      </c>
      <c r="W16" s="4">
        <f>SUMPRODUCT(('Monthly Occurrences (Support)'!$C$4:$C$166=$A16)*('Monthly Occurrences (Support)'!$D$4:$D$166="Physical")*('Monthly Occurrences (Support)'!$AB$4:$AB$166))</f>
        <v>0</v>
      </c>
    </row>
    <row r="17" spans="1:23" x14ac:dyDescent="0.25">
      <c r="A17" s="16" t="s">
        <v>45</v>
      </c>
      <c r="B17" s="7">
        <f>SUMPRODUCT(('Monthly Occurrences (Support)'!$C$4:$C$166=$A17)*('Monthly Occurrences (Support)'!$D$4:$D$166="Physical")*('Monthly Occurrences (Support)'!$G$4:$G$166))</f>
        <v>0</v>
      </c>
      <c r="C17" s="7">
        <f>SUMPRODUCT(('Monthly Occurrences (Support)'!$C$4:$C$166=$A17)*('Monthly Occurrences (Support)'!$D$4:$D$166="Physical")*('Monthly Occurrences (Support)'!$H$4:$H$166))</f>
        <v>0</v>
      </c>
      <c r="D17" s="7">
        <f>SUMPRODUCT(('Monthly Occurrences (Support)'!$C$4:$C$166=$A17)*('Monthly Occurrences (Support)'!$D$4:$D$166="Physical")*('Monthly Occurrences (Support)'!$I$4:$I$166))</f>
        <v>0</v>
      </c>
      <c r="E17" s="7">
        <f>SUMPRODUCT(('Monthly Occurrences (Support)'!$C$4:$C$166=$A17)*('Monthly Occurrences (Support)'!$D$4:$D$166="Physical")*('Monthly Occurrences (Support)'!$J$4:$J$166))</f>
        <v>0</v>
      </c>
      <c r="F17" s="7">
        <f>SUMPRODUCT(('Monthly Occurrences (Support)'!$C$4:$C$166=$A17)*('Monthly Occurrences (Support)'!$D$4:$D$166="Physical")*('Monthly Occurrences (Support)'!$K$4:$K$166))</f>
        <v>2</v>
      </c>
      <c r="G17" s="7">
        <f>SUMPRODUCT(('Monthly Occurrences (Support)'!$C$4:$C$166=$A17)*('Monthly Occurrences (Support)'!$D$4:$D$166="Physical")*('Monthly Occurrences (Support)'!$L$4:$L$166))</f>
        <v>7</v>
      </c>
      <c r="H17" s="7">
        <f>SUMPRODUCT(('Monthly Occurrences (Support)'!$C$4:$C$166=$A17)*('Monthly Occurrences (Support)'!$D$4:$D$166="Physical")*('Monthly Occurrences (Support)'!$M$4:$M$166))</f>
        <v>17</v>
      </c>
      <c r="I17" s="7">
        <f>SUMPRODUCT(('Monthly Occurrences (Support)'!$C$4:$C$166=$A17)*('Monthly Occurrences (Support)'!$D$4:$D$166="Physical")*('Monthly Occurrences (Support)'!$N$4:$N$166))</f>
        <v>21</v>
      </c>
      <c r="J17" s="7">
        <f>SUMPRODUCT(('Monthly Occurrences (Support)'!$C$4:$C$166=$A17)*('Monthly Occurrences (Support)'!$D$4:$D$166="Physical")*('Monthly Occurrences (Support)'!$O$4:$O$166))</f>
        <v>30</v>
      </c>
      <c r="K17" s="7">
        <f>SUMPRODUCT(('Monthly Occurrences (Support)'!$C$4:$C$166=$A17)*('Monthly Occurrences (Support)'!$D$4:$D$166="Physical")*('Monthly Occurrences (Support)'!$P$4:$P$166))</f>
        <v>25</v>
      </c>
      <c r="L17" s="7">
        <f>SUMPRODUCT(('Monthly Occurrences (Support)'!$C$4:$C$166=$A17)*('Monthly Occurrences (Support)'!$D$4:$D$166="Physical")*('Monthly Occurrences (Support)'!$Q$4:$Q$166))</f>
        <v>18</v>
      </c>
      <c r="M17" s="7">
        <f>SUMPRODUCT(('Monthly Occurrences (Support)'!$C$4:$C$166=$A17)*('Monthly Occurrences (Support)'!$D$4:$D$166="Physical")*('Monthly Occurrences (Support)'!$R$4:$R$166))</f>
        <v>14</v>
      </c>
      <c r="N17" s="7">
        <f>SUMPRODUCT(('Monthly Occurrences (Support)'!$C$4:$C$166=$A17)*('Monthly Occurrences (Support)'!$D$4:$D$166="Physical")*('Monthly Occurrences (Support)'!$S$4:$S$166))</f>
        <v>3</v>
      </c>
      <c r="O17" s="7">
        <f>SUMPRODUCT(('Monthly Occurrences (Support)'!$C$4:$C$166=$A17)*('Monthly Occurrences (Support)'!$D$4:$D$166="Physical")*('Monthly Occurrences (Support)'!$T$4:$T$166))</f>
        <v>0</v>
      </c>
      <c r="P17" s="7">
        <f>SUMPRODUCT(('Monthly Occurrences (Support)'!$C$4:$C$166=$A17)*('Monthly Occurrences (Support)'!$D$4:$D$166="Physical")*('Monthly Occurrences (Support)'!$U$4:$U$166))</f>
        <v>0</v>
      </c>
      <c r="Q17" s="7">
        <f>SUMPRODUCT(('Monthly Occurrences (Support)'!$C$4:$C$166=$A17)*('Monthly Occurrences (Support)'!$D$4:$D$166="Physical")*('Monthly Occurrences (Support)'!$V$4:$V$166))</f>
        <v>0</v>
      </c>
      <c r="R17" s="7">
        <f>SUMPRODUCT(('Monthly Occurrences (Support)'!$C$4:$C$166=$A17)*('Monthly Occurrences (Support)'!$D$4:$D$166="Physical")*('Monthly Occurrences (Support)'!$W$4:$W$166))</f>
        <v>0</v>
      </c>
      <c r="S17" s="7">
        <f>SUMPRODUCT(('Monthly Occurrences (Support)'!$C$4:$C$166=$A17)*('Monthly Occurrences (Support)'!$D$4:$D$166="Physical")*('Monthly Occurrences (Support)'!$X$4:$X$166))</f>
        <v>0</v>
      </c>
      <c r="T17" s="7">
        <f>SUMPRODUCT(('Monthly Occurrences (Support)'!$C$4:$C$166=$A17)*('Monthly Occurrences (Support)'!$D$4:$D$166="Physical")*('Monthly Occurrences (Support)'!$Y$4:$Y$166))</f>
        <v>0</v>
      </c>
      <c r="U17" s="7">
        <f>SUMPRODUCT(('Monthly Occurrences (Support)'!$C$4:$C$166=$A17)*('Monthly Occurrences (Support)'!$D$4:$D$166="Physical")*('Monthly Occurrences (Support)'!$Z$4:$Z$166))</f>
        <v>0</v>
      </c>
      <c r="V17" s="7">
        <f>SUMPRODUCT(('Monthly Occurrences (Support)'!$C$4:$C$166=$A17)*('Monthly Occurrences (Support)'!$D$4:$D$166="Physical")*('Monthly Occurrences (Support)'!$AA$4:$AA$166))</f>
        <v>0</v>
      </c>
      <c r="W17" s="7">
        <f>SUMPRODUCT(('Monthly Occurrences (Support)'!$C$4:$C$166=$A17)*('Monthly Occurrences (Support)'!$D$4:$D$166="Physical")*('Monthly Occurrences (Support)'!$AB$4:$AB$166))</f>
        <v>0</v>
      </c>
    </row>
    <row r="18" spans="1:23" x14ac:dyDescent="0.25">
      <c r="A18" s="15" t="s">
        <v>46</v>
      </c>
      <c r="B18" s="4">
        <f>SUMPRODUCT(('Monthly Occurrences (Support)'!$C$4:$C$166=$A18)*('Monthly Occurrences (Support)'!$D$4:$D$166="Physical")*('Monthly Occurrences (Support)'!$G$4:$G$166))</f>
        <v>0</v>
      </c>
      <c r="C18" s="4">
        <f>SUMPRODUCT(('Monthly Occurrences (Support)'!$C$4:$C$166=$A18)*('Monthly Occurrences (Support)'!$D$4:$D$166="Physical")*('Monthly Occurrences (Support)'!$H$4:$H$166))</f>
        <v>0</v>
      </c>
      <c r="D18" s="4">
        <f>SUMPRODUCT(('Monthly Occurrences (Support)'!$C$4:$C$166=$A18)*('Monthly Occurrences (Support)'!$D$4:$D$166="Physical")*('Monthly Occurrences (Support)'!$I$4:$I$166))</f>
        <v>0</v>
      </c>
      <c r="E18" s="4">
        <f>SUMPRODUCT(('Monthly Occurrences (Support)'!$C$4:$C$166=$A18)*('Monthly Occurrences (Support)'!$D$4:$D$166="Physical")*('Monthly Occurrences (Support)'!$J$4:$J$166))</f>
        <v>0</v>
      </c>
      <c r="F18" s="4">
        <f>SUMPRODUCT(('Monthly Occurrences (Support)'!$C$4:$C$166=$A18)*('Monthly Occurrences (Support)'!$D$4:$D$166="Physical")*('Monthly Occurrences (Support)'!$K$4:$K$166))</f>
        <v>2</v>
      </c>
      <c r="G18" s="4">
        <f>SUMPRODUCT(('Monthly Occurrences (Support)'!$C$4:$C$166=$A18)*('Monthly Occurrences (Support)'!$D$4:$D$166="Physical")*('Monthly Occurrences (Support)'!$L$4:$L$166))</f>
        <v>12</v>
      </c>
      <c r="H18" s="4">
        <f>SUMPRODUCT(('Monthly Occurrences (Support)'!$C$4:$C$166=$A18)*('Monthly Occurrences (Support)'!$D$4:$D$166="Physical")*('Monthly Occurrences (Support)'!$M$4:$M$166))</f>
        <v>15</v>
      </c>
      <c r="I18" s="4">
        <f>SUMPRODUCT(('Monthly Occurrences (Support)'!$C$4:$C$166=$A18)*('Monthly Occurrences (Support)'!$D$4:$D$166="Physical")*('Monthly Occurrences (Support)'!$N$4:$N$166))</f>
        <v>14</v>
      </c>
      <c r="J18" s="4">
        <f>SUMPRODUCT(('Monthly Occurrences (Support)'!$C$4:$C$166=$A18)*('Monthly Occurrences (Support)'!$D$4:$D$166="Physical")*('Monthly Occurrences (Support)'!$O$4:$O$166))</f>
        <v>27</v>
      </c>
      <c r="K18" s="4">
        <f>SUMPRODUCT(('Monthly Occurrences (Support)'!$C$4:$C$166=$A18)*('Monthly Occurrences (Support)'!$D$4:$D$166="Physical")*('Monthly Occurrences (Support)'!$P$4:$P$166))</f>
        <v>32</v>
      </c>
      <c r="L18" s="4">
        <f>SUMPRODUCT(('Monthly Occurrences (Support)'!$C$4:$C$166=$A18)*('Monthly Occurrences (Support)'!$D$4:$D$166="Physical")*('Monthly Occurrences (Support)'!$Q$4:$Q$166))</f>
        <v>28</v>
      </c>
      <c r="M18" s="4">
        <f>SUMPRODUCT(('Monthly Occurrences (Support)'!$C$4:$C$166=$A18)*('Monthly Occurrences (Support)'!$D$4:$D$166="Physical")*('Monthly Occurrences (Support)'!$R$4:$R$166))</f>
        <v>22</v>
      </c>
      <c r="N18" s="4">
        <f>SUMPRODUCT(('Monthly Occurrences (Support)'!$C$4:$C$166=$A18)*('Monthly Occurrences (Support)'!$D$4:$D$166="Physical")*('Monthly Occurrences (Support)'!$S$4:$S$166))</f>
        <v>21</v>
      </c>
      <c r="O18" s="4">
        <f>SUMPRODUCT(('Monthly Occurrences (Support)'!$C$4:$C$166=$A18)*('Monthly Occurrences (Support)'!$D$4:$D$166="Physical")*('Monthly Occurrences (Support)'!$T$4:$T$166))</f>
        <v>10</v>
      </c>
      <c r="P18" s="4">
        <f>SUMPRODUCT(('Monthly Occurrences (Support)'!$C$4:$C$166=$A18)*('Monthly Occurrences (Support)'!$D$4:$D$166="Physical")*('Monthly Occurrences (Support)'!$U$4:$U$166))</f>
        <v>0</v>
      </c>
      <c r="Q18" s="4">
        <f>SUMPRODUCT(('Monthly Occurrences (Support)'!$C$4:$C$166=$A18)*('Monthly Occurrences (Support)'!$D$4:$D$166="Physical")*('Monthly Occurrences (Support)'!$V$4:$V$166))</f>
        <v>0</v>
      </c>
      <c r="R18" s="4">
        <f>SUMPRODUCT(('Monthly Occurrences (Support)'!$C$4:$C$166=$A18)*('Monthly Occurrences (Support)'!$D$4:$D$166="Physical")*('Monthly Occurrences (Support)'!$W$4:$W$166))</f>
        <v>0</v>
      </c>
      <c r="S18" s="4">
        <f>SUMPRODUCT(('Monthly Occurrences (Support)'!$C$4:$C$166=$A18)*('Monthly Occurrences (Support)'!$D$4:$D$166="Physical")*('Monthly Occurrences (Support)'!$X$4:$X$166))</f>
        <v>0</v>
      </c>
      <c r="T18" s="4">
        <f>SUMPRODUCT(('Monthly Occurrences (Support)'!$C$4:$C$166=$A18)*('Monthly Occurrences (Support)'!$D$4:$D$166="Physical")*('Monthly Occurrences (Support)'!$Y$4:$Y$166))</f>
        <v>0</v>
      </c>
      <c r="U18" s="4">
        <f>SUMPRODUCT(('Monthly Occurrences (Support)'!$C$4:$C$166=$A18)*('Monthly Occurrences (Support)'!$D$4:$D$166="Physical")*('Monthly Occurrences (Support)'!$Z$4:$Z$166))</f>
        <v>0</v>
      </c>
      <c r="V18" s="4">
        <f>SUMPRODUCT(('Monthly Occurrences (Support)'!$C$4:$C$166=$A18)*('Monthly Occurrences (Support)'!$D$4:$D$166="Physical")*('Monthly Occurrences (Support)'!$AA$4:$AA$166))</f>
        <v>0</v>
      </c>
      <c r="W18" s="4">
        <f>SUMPRODUCT(('Monthly Occurrences (Support)'!$C$4:$C$166=$A18)*('Monthly Occurrences (Support)'!$D$4:$D$166="Physical")*('Monthly Occurrences (Support)'!$AB$4:$AB$166))</f>
        <v>0</v>
      </c>
    </row>
    <row r="19" spans="1:23" x14ac:dyDescent="0.25">
      <c r="A19" s="16" t="s">
        <v>47</v>
      </c>
      <c r="B19" s="7">
        <f>SUMPRODUCT(('Monthly Occurrences (Support)'!$C$4:$C$166=$A19)*('Monthly Occurrences (Support)'!$D$4:$D$166="Physical")*('Monthly Occurrences (Support)'!$G$4:$G$166))</f>
        <v>0</v>
      </c>
      <c r="C19" s="7">
        <f>SUMPRODUCT(('Monthly Occurrences (Support)'!$C$4:$C$166=$A19)*('Monthly Occurrences (Support)'!$D$4:$D$166="Physical")*('Monthly Occurrences (Support)'!$H$4:$H$166))</f>
        <v>0</v>
      </c>
      <c r="D19" s="7">
        <f>SUMPRODUCT(('Monthly Occurrences (Support)'!$C$4:$C$166=$A19)*('Monthly Occurrences (Support)'!$D$4:$D$166="Physical")*('Monthly Occurrences (Support)'!$I$4:$I$166))</f>
        <v>0</v>
      </c>
      <c r="E19" s="7">
        <f>SUMPRODUCT(('Monthly Occurrences (Support)'!$C$4:$C$166=$A19)*('Monthly Occurrences (Support)'!$D$4:$D$166="Physical")*('Monthly Occurrences (Support)'!$J$4:$J$166))</f>
        <v>0</v>
      </c>
      <c r="F19" s="7">
        <f>SUMPRODUCT(('Monthly Occurrences (Support)'!$C$4:$C$166=$A19)*('Monthly Occurrences (Support)'!$D$4:$D$166="Physical")*('Monthly Occurrences (Support)'!$K$4:$K$166))</f>
        <v>2</v>
      </c>
      <c r="G19" s="7">
        <f>SUMPRODUCT(('Monthly Occurrences (Support)'!$C$4:$C$166=$A19)*('Monthly Occurrences (Support)'!$D$4:$D$166="Physical")*('Monthly Occurrences (Support)'!$L$4:$L$166))</f>
        <v>8</v>
      </c>
      <c r="H19" s="7">
        <f>SUMPRODUCT(('Monthly Occurrences (Support)'!$C$4:$C$166=$A19)*('Monthly Occurrences (Support)'!$D$4:$D$166="Physical")*('Monthly Occurrences (Support)'!$M$4:$M$166))</f>
        <v>10</v>
      </c>
      <c r="I19" s="7">
        <f>SUMPRODUCT(('Monthly Occurrences (Support)'!$C$4:$C$166=$A19)*('Monthly Occurrences (Support)'!$D$4:$D$166="Physical")*('Monthly Occurrences (Support)'!$N$4:$N$166))</f>
        <v>14</v>
      </c>
      <c r="J19" s="7">
        <f>SUMPRODUCT(('Monthly Occurrences (Support)'!$C$4:$C$166=$A19)*('Monthly Occurrences (Support)'!$D$4:$D$166="Physical")*('Monthly Occurrences (Support)'!$O$4:$O$166))</f>
        <v>28</v>
      </c>
      <c r="K19" s="7">
        <f>SUMPRODUCT(('Monthly Occurrences (Support)'!$C$4:$C$166=$A19)*('Monthly Occurrences (Support)'!$D$4:$D$166="Physical")*('Monthly Occurrences (Support)'!$P$4:$P$166))</f>
        <v>27</v>
      </c>
      <c r="L19" s="7">
        <f>SUMPRODUCT(('Monthly Occurrences (Support)'!$C$4:$C$166=$A19)*('Monthly Occurrences (Support)'!$D$4:$D$166="Physical")*('Monthly Occurrences (Support)'!$Q$4:$Q$166))</f>
        <v>24</v>
      </c>
      <c r="M19" s="7">
        <f>SUMPRODUCT(('Monthly Occurrences (Support)'!$C$4:$C$166=$A19)*('Monthly Occurrences (Support)'!$D$4:$D$166="Physical")*('Monthly Occurrences (Support)'!$R$4:$R$166))</f>
        <v>21</v>
      </c>
      <c r="N19" s="7">
        <f>SUMPRODUCT(('Monthly Occurrences (Support)'!$C$4:$C$166=$A19)*('Monthly Occurrences (Support)'!$D$4:$D$166="Physical")*('Monthly Occurrences (Support)'!$S$4:$S$166))</f>
        <v>7</v>
      </c>
      <c r="O19" s="7">
        <f>SUMPRODUCT(('Monthly Occurrences (Support)'!$C$4:$C$166=$A19)*('Monthly Occurrences (Support)'!$D$4:$D$166="Physical")*('Monthly Occurrences (Support)'!$T$4:$T$166))</f>
        <v>3</v>
      </c>
      <c r="P19" s="7">
        <f>SUMPRODUCT(('Monthly Occurrences (Support)'!$C$4:$C$166=$A19)*('Monthly Occurrences (Support)'!$D$4:$D$166="Physical")*('Monthly Occurrences (Support)'!$U$4:$U$166))</f>
        <v>0</v>
      </c>
      <c r="Q19" s="7">
        <f>SUMPRODUCT(('Monthly Occurrences (Support)'!$C$4:$C$166=$A19)*('Monthly Occurrences (Support)'!$D$4:$D$166="Physical")*('Monthly Occurrences (Support)'!$V$4:$V$166))</f>
        <v>0</v>
      </c>
      <c r="R19" s="7">
        <f>SUMPRODUCT(('Monthly Occurrences (Support)'!$C$4:$C$166=$A19)*('Monthly Occurrences (Support)'!$D$4:$D$166="Physical")*('Monthly Occurrences (Support)'!$W$4:$W$166))</f>
        <v>0</v>
      </c>
      <c r="S19" s="7">
        <f>SUMPRODUCT(('Monthly Occurrences (Support)'!$C$4:$C$166=$A19)*('Monthly Occurrences (Support)'!$D$4:$D$166="Physical")*('Monthly Occurrences (Support)'!$X$4:$X$166))</f>
        <v>0</v>
      </c>
      <c r="T19" s="7">
        <f>SUMPRODUCT(('Monthly Occurrences (Support)'!$C$4:$C$166=$A19)*('Monthly Occurrences (Support)'!$D$4:$D$166="Physical")*('Monthly Occurrences (Support)'!$Y$4:$Y$166))</f>
        <v>0</v>
      </c>
      <c r="U19" s="7">
        <f>SUMPRODUCT(('Monthly Occurrences (Support)'!$C$4:$C$166=$A19)*('Monthly Occurrences (Support)'!$D$4:$D$166="Physical")*('Monthly Occurrences (Support)'!$Z$4:$Z$166))</f>
        <v>0</v>
      </c>
      <c r="V19" s="7">
        <f>SUMPRODUCT(('Monthly Occurrences (Support)'!$C$4:$C$166=$A19)*('Monthly Occurrences (Support)'!$D$4:$D$166="Physical")*('Monthly Occurrences (Support)'!$AA$4:$AA$166))</f>
        <v>0</v>
      </c>
      <c r="W19" s="7">
        <f>SUMPRODUCT(('Monthly Occurrences (Support)'!$C$4:$C$166=$A19)*('Monthly Occurrences (Support)'!$D$4:$D$166="Physical")*('Monthly Occurrences (Support)'!$AB$4:$AB$166))</f>
        <v>0</v>
      </c>
    </row>
    <row r="20" spans="1:23" x14ac:dyDescent="0.25">
      <c r="A20" s="15" t="s">
        <v>48</v>
      </c>
      <c r="B20" s="4">
        <f>SUMPRODUCT(('Monthly Occurrences (Support)'!$C$4:$C$166=$A20)*('Monthly Occurrences (Support)'!$D$4:$D$166="Physical")*('Monthly Occurrences (Support)'!$G$4:$G$166))</f>
        <v>0</v>
      </c>
      <c r="C20" s="4">
        <f>SUMPRODUCT(('Monthly Occurrences (Support)'!$C$4:$C$166=$A20)*('Monthly Occurrences (Support)'!$D$4:$D$166="Physical")*('Monthly Occurrences (Support)'!$H$4:$H$166))</f>
        <v>0</v>
      </c>
      <c r="D20" s="4">
        <f>SUMPRODUCT(('Monthly Occurrences (Support)'!$C$4:$C$166=$A20)*('Monthly Occurrences (Support)'!$D$4:$D$166="Physical")*('Monthly Occurrences (Support)'!$I$4:$I$166))</f>
        <v>0</v>
      </c>
      <c r="E20" s="4">
        <f>SUMPRODUCT(('Monthly Occurrences (Support)'!$C$4:$C$166=$A20)*('Monthly Occurrences (Support)'!$D$4:$D$166="Physical")*('Monthly Occurrences (Support)'!$J$4:$J$166))</f>
        <v>0</v>
      </c>
      <c r="F20" s="4">
        <f>SUMPRODUCT(('Monthly Occurrences (Support)'!$C$4:$C$166=$A20)*('Monthly Occurrences (Support)'!$D$4:$D$166="Physical")*('Monthly Occurrences (Support)'!$K$4:$K$166))</f>
        <v>3</v>
      </c>
      <c r="G20" s="4">
        <f>SUMPRODUCT(('Monthly Occurrences (Support)'!$C$4:$C$166=$A20)*('Monthly Occurrences (Support)'!$D$4:$D$166="Physical")*('Monthly Occurrences (Support)'!$L$4:$L$166))</f>
        <v>8</v>
      </c>
      <c r="H20" s="4">
        <f>SUMPRODUCT(('Monthly Occurrences (Support)'!$C$4:$C$166=$A20)*('Monthly Occurrences (Support)'!$D$4:$D$166="Physical")*('Monthly Occurrences (Support)'!$M$4:$M$166))</f>
        <v>9</v>
      </c>
      <c r="I20" s="4">
        <f>SUMPRODUCT(('Monthly Occurrences (Support)'!$C$4:$C$166=$A20)*('Monthly Occurrences (Support)'!$D$4:$D$166="Physical")*('Monthly Occurrences (Support)'!$N$4:$N$166))</f>
        <v>9</v>
      </c>
      <c r="J20" s="4">
        <f>SUMPRODUCT(('Monthly Occurrences (Support)'!$C$4:$C$166=$A20)*('Monthly Occurrences (Support)'!$D$4:$D$166="Physical")*('Monthly Occurrences (Support)'!$O$4:$O$166))</f>
        <v>13</v>
      </c>
      <c r="K20" s="4">
        <f>SUMPRODUCT(('Monthly Occurrences (Support)'!$C$4:$C$166=$A20)*('Monthly Occurrences (Support)'!$D$4:$D$166="Physical")*('Monthly Occurrences (Support)'!$P$4:$P$166))</f>
        <v>14</v>
      </c>
      <c r="L20" s="4">
        <f>SUMPRODUCT(('Monthly Occurrences (Support)'!$C$4:$C$166=$A20)*('Monthly Occurrences (Support)'!$D$4:$D$166="Physical")*('Monthly Occurrences (Support)'!$Q$4:$Q$166))</f>
        <v>13</v>
      </c>
      <c r="M20" s="4">
        <f>SUMPRODUCT(('Monthly Occurrences (Support)'!$C$4:$C$166=$A20)*('Monthly Occurrences (Support)'!$D$4:$D$166="Physical")*('Monthly Occurrences (Support)'!$R$4:$R$166))</f>
        <v>12</v>
      </c>
      <c r="N20" s="4">
        <f>SUMPRODUCT(('Monthly Occurrences (Support)'!$C$4:$C$166=$A20)*('Monthly Occurrences (Support)'!$D$4:$D$166="Physical")*('Monthly Occurrences (Support)'!$S$4:$S$166))</f>
        <v>12</v>
      </c>
      <c r="O20" s="4">
        <f>SUMPRODUCT(('Monthly Occurrences (Support)'!$C$4:$C$166=$A20)*('Monthly Occurrences (Support)'!$D$4:$D$166="Physical")*('Monthly Occurrences (Support)'!$T$4:$T$166))</f>
        <v>7</v>
      </c>
      <c r="P20" s="4">
        <f>SUMPRODUCT(('Monthly Occurrences (Support)'!$C$4:$C$166=$A20)*('Monthly Occurrences (Support)'!$D$4:$D$166="Physical")*('Monthly Occurrences (Support)'!$U$4:$U$166))</f>
        <v>4</v>
      </c>
      <c r="Q20" s="4">
        <f>SUMPRODUCT(('Monthly Occurrences (Support)'!$C$4:$C$166=$A20)*('Monthly Occurrences (Support)'!$D$4:$D$166="Physical")*('Monthly Occurrences (Support)'!$V$4:$V$166))</f>
        <v>4</v>
      </c>
      <c r="R20" s="4">
        <f>SUMPRODUCT(('Monthly Occurrences (Support)'!$C$4:$C$166=$A20)*('Monthly Occurrences (Support)'!$D$4:$D$166="Physical")*('Monthly Occurrences (Support)'!$W$4:$W$166))</f>
        <v>5</v>
      </c>
      <c r="S20" s="4">
        <f>SUMPRODUCT(('Monthly Occurrences (Support)'!$C$4:$C$166=$A20)*('Monthly Occurrences (Support)'!$D$4:$D$166="Physical")*('Monthly Occurrences (Support)'!$X$4:$X$166))</f>
        <v>4</v>
      </c>
      <c r="T20" s="4">
        <f>SUMPRODUCT(('Monthly Occurrences (Support)'!$C$4:$C$166=$A20)*('Monthly Occurrences (Support)'!$D$4:$D$166="Physical")*('Monthly Occurrences (Support)'!$Y$4:$Y$166))</f>
        <v>4</v>
      </c>
      <c r="U20" s="4">
        <f>SUMPRODUCT(('Monthly Occurrences (Support)'!$C$4:$C$166=$A20)*('Monthly Occurrences (Support)'!$D$4:$D$166="Physical")*('Monthly Occurrences (Support)'!$Z$4:$Z$166))</f>
        <v>5</v>
      </c>
      <c r="V20" s="4">
        <f>SUMPRODUCT(('Monthly Occurrences (Support)'!$C$4:$C$166=$A20)*('Monthly Occurrences (Support)'!$D$4:$D$166="Physical")*('Monthly Occurrences (Support)'!$AA$4:$AA$166))</f>
        <v>4</v>
      </c>
      <c r="W20" s="4">
        <f>SUMPRODUCT(('Monthly Occurrences (Support)'!$C$4:$C$166=$A20)*('Monthly Occurrences (Support)'!$D$4:$D$166="Physical")*('Monthly Occurrences (Support)'!$AB$4:$AB$166))</f>
        <v>4</v>
      </c>
    </row>
    <row r="21" spans="1:23" x14ac:dyDescent="0.25">
      <c r="A21" s="16" t="s">
        <v>49</v>
      </c>
      <c r="B21" s="7">
        <f>SUMPRODUCT(('Monthly Occurrences (Support)'!$C$4:$C$166=$A21)*('Monthly Occurrences (Support)'!$D$4:$D$166="Physical")*('Monthly Occurrences (Support)'!$G$4:$G$166))</f>
        <v>0</v>
      </c>
      <c r="C21" s="7">
        <f>SUMPRODUCT(('Monthly Occurrences (Support)'!$C$4:$C$166=$A21)*('Monthly Occurrences (Support)'!$D$4:$D$166="Physical")*('Monthly Occurrences (Support)'!$H$4:$H$166))</f>
        <v>0</v>
      </c>
      <c r="D21" s="7">
        <f>SUMPRODUCT(('Monthly Occurrences (Support)'!$C$4:$C$166=$A21)*('Monthly Occurrences (Support)'!$D$4:$D$166="Physical")*('Monthly Occurrences (Support)'!$I$4:$I$166))</f>
        <v>0</v>
      </c>
      <c r="E21" s="7">
        <f>SUMPRODUCT(('Monthly Occurrences (Support)'!$C$4:$C$166=$A21)*('Monthly Occurrences (Support)'!$D$4:$D$166="Physical")*('Monthly Occurrences (Support)'!$J$4:$J$166))</f>
        <v>0</v>
      </c>
      <c r="F21" s="7">
        <f>SUMPRODUCT(('Monthly Occurrences (Support)'!$C$4:$C$166=$A21)*('Monthly Occurrences (Support)'!$D$4:$D$166="Physical")*('Monthly Occurrences (Support)'!$K$4:$K$166))</f>
        <v>0</v>
      </c>
      <c r="G21" s="7">
        <f>SUMPRODUCT(('Monthly Occurrences (Support)'!$C$4:$C$166=$A21)*('Monthly Occurrences (Support)'!$D$4:$D$166="Physical")*('Monthly Occurrences (Support)'!$L$4:$L$166))</f>
        <v>0</v>
      </c>
      <c r="H21" s="7">
        <f>SUMPRODUCT(('Monthly Occurrences (Support)'!$C$4:$C$166=$A21)*('Monthly Occurrences (Support)'!$D$4:$D$166="Physical")*('Monthly Occurrences (Support)'!$M$4:$M$166))</f>
        <v>0</v>
      </c>
      <c r="I21" s="7">
        <f>SUMPRODUCT(('Monthly Occurrences (Support)'!$C$4:$C$166=$A21)*('Monthly Occurrences (Support)'!$D$4:$D$166="Physical")*('Monthly Occurrences (Support)'!$N$4:$N$166))</f>
        <v>0</v>
      </c>
      <c r="J21" s="7">
        <f>SUMPRODUCT(('Monthly Occurrences (Support)'!$C$4:$C$166=$A21)*('Monthly Occurrences (Support)'!$D$4:$D$166="Physical")*('Monthly Occurrences (Support)'!$O$4:$O$166))</f>
        <v>18</v>
      </c>
      <c r="K21" s="7">
        <f>SUMPRODUCT(('Monthly Occurrences (Support)'!$C$4:$C$166=$A21)*('Monthly Occurrences (Support)'!$D$4:$D$166="Physical")*('Monthly Occurrences (Support)'!$P$4:$P$166))</f>
        <v>28</v>
      </c>
      <c r="L21" s="7">
        <f>SUMPRODUCT(('Monthly Occurrences (Support)'!$C$4:$C$166=$A21)*('Monthly Occurrences (Support)'!$D$4:$D$166="Physical")*('Monthly Occurrences (Support)'!$Q$4:$Q$166))</f>
        <v>26</v>
      </c>
      <c r="M21" s="7">
        <f>SUMPRODUCT(('Monthly Occurrences (Support)'!$C$4:$C$166=$A21)*('Monthly Occurrences (Support)'!$D$4:$D$166="Physical")*('Monthly Occurrences (Support)'!$R$4:$R$166))</f>
        <v>26</v>
      </c>
      <c r="N21" s="7">
        <f>SUMPRODUCT(('Monthly Occurrences (Support)'!$C$4:$C$166=$A21)*('Monthly Occurrences (Support)'!$D$4:$D$166="Physical")*('Monthly Occurrences (Support)'!$S$4:$S$166))</f>
        <v>21</v>
      </c>
      <c r="O21" s="7">
        <f>SUMPRODUCT(('Monthly Occurrences (Support)'!$C$4:$C$166=$A21)*('Monthly Occurrences (Support)'!$D$4:$D$166="Physical")*('Monthly Occurrences (Support)'!$T$4:$T$166))</f>
        <v>6</v>
      </c>
      <c r="P21" s="7">
        <f>SUMPRODUCT(('Monthly Occurrences (Support)'!$C$4:$C$166=$A21)*('Monthly Occurrences (Support)'!$D$4:$D$166="Physical")*('Monthly Occurrences (Support)'!$U$4:$U$166))</f>
        <v>0</v>
      </c>
      <c r="Q21" s="7">
        <f>SUMPRODUCT(('Monthly Occurrences (Support)'!$C$4:$C$166=$A21)*('Monthly Occurrences (Support)'!$D$4:$D$166="Physical")*('Monthly Occurrences (Support)'!$V$4:$V$166))</f>
        <v>0</v>
      </c>
      <c r="R21" s="7">
        <f>SUMPRODUCT(('Monthly Occurrences (Support)'!$C$4:$C$166=$A21)*('Monthly Occurrences (Support)'!$D$4:$D$166="Physical")*('Monthly Occurrences (Support)'!$W$4:$W$166))</f>
        <v>0</v>
      </c>
      <c r="S21" s="7">
        <f>SUMPRODUCT(('Monthly Occurrences (Support)'!$C$4:$C$166=$A21)*('Monthly Occurrences (Support)'!$D$4:$D$166="Physical")*('Monthly Occurrences (Support)'!$X$4:$X$166))</f>
        <v>0</v>
      </c>
      <c r="T21" s="7">
        <f>SUMPRODUCT(('Monthly Occurrences (Support)'!$C$4:$C$166=$A21)*('Monthly Occurrences (Support)'!$D$4:$D$166="Physical")*('Monthly Occurrences (Support)'!$Y$4:$Y$166))</f>
        <v>0</v>
      </c>
      <c r="U21" s="7">
        <f>SUMPRODUCT(('Monthly Occurrences (Support)'!$C$4:$C$166=$A21)*('Monthly Occurrences (Support)'!$D$4:$D$166="Physical")*('Monthly Occurrences (Support)'!$Z$4:$Z$166))</f>
        <v>0</v>
      </c>
      <c r="V21" s="7">
        <f>SUMPRODUCT(('Monthly Occurrences (Support)'!$C$4:$C$166=$A21)*('Monthly Occurrences (Support)'!$D$4:$D$166="Physical")*('Monthly Occurrences (Support)'!$AA$4:$AA$166))</f>
        <v>0</v>
      </c>
      <c r="W21" s="7">
        <f>SUMPRODUCT(('Monthly Occurrences (Support)'!$C$4:$C$166=$A21)*('Monthly Occurrences (Support)'!$D$4:$D$166="Physical")*('Monthly Occurrences (Support)'!$AB$4:$AB$166))</f>
        <v>0</v>
      </c>
    </row>
    <row r="22" spans="1:23" x14ac:dyDescent="0.25">
      <c r="A22" s="15" t="s">
        <v>50</v>
      </c>
      <c r="B22" s="4">
        <f>SUMPRODUCT(('Monthly Occurrences (Support)'!$C$4:$C$166=$A22)*('Monthly Occurrences (Support)'!$D$4:$D$166="Physical")*('Monthly Occurrences (Support)'!$G$4:$G$166))</f>
        <v>0</v>
      </c>
      <c r="C22" s="4">
        <f>SUMPRODUCT(('Monthly Occurrences (Support)'!$C$4:$C$166=$A22)*('Monthly Occurrences (Support)'!$D$4:$D$166="Physical")*('Monthly Occurrences (Support)'!$H$4:$H$166))</f>
        <v>0</v>
      </c>
      <c r="D22" s="4">
        <f>SUMPRODUCT(('Monthly Occurrences (Support)'!$C$4:$C$166=$A22)*('Monthly Occurrences (Support)'!$D$4:$D$166="Physical")*('Monthly Occurrences (Support)'!$I$4:$I$166))</f>
        <v>0</v>
      </c>
      <c r="E22" s="4">
        <f>SUMPRODUCT(('Monthly Occurrences (Support)'!$C$4:$C$166=$A22)*('Monthly Occurrences (Support)'!$D$4:$D$166="Physical")*('Monthly Occurrences (Support)'!$J$4:$J$166))</f>
        <v>0</v>
      </c>
      <c r="F22" s="4">
        <f>SUMPRODUCT(('Monthly Occurrences (Support)'!$C$4:$C$166=$A22)*('Monthly Occurrences (Support)'!$D$4:$D$166="Physical")*('Monthly Occurrences (Support)'!$K$4:$K$166))</f>
        <v>0</v>
      </c>
      <c r="G22" s="4">
        <f>SUMPRODUCT(('Monthly Occurrences (Support)'!$C$4:$C$166=$A22)*('Monthly Occurrences (Support)'!$D$4:$D$166="Physical")*('Monthly Occurrences (Support)'!$L$4:$L$166))</f>
        <v>0</v>
      </c>
      <c r="H22" s="4">
        <f>SUMPRODUCT(('Monthly Occurrences (Support)'!$C$4:$C$166=$A22)*('Monthly Occurrences (Support)'!$D$4:$D$166="Physical")*('Monthly Occurrences (Support)'!$M$4:$M$166))</f>
        <v>0</v>
      </c>
      <c r="I22" s="4">
        <f>SUMPRODUCT(('Monthly Occurrences (Support)'!$C$4:$C$166=$A22)*('Monthly Occurrences (Support)'!$D$4:$D$166="Physical")*('Monthly Occurrences (Support)'!$N$4:$N$166))</f>
        <v>4</v>
      </c>
      <c r="J22" s="4">
        <f>SUMPRODUCT(('Monthly Occurrences (Support)'!$C$4:$C$166=$A22)*('Monthly Occurrences (Support)'!$D$4:$D$166="Physical")*('Monthly Occurrences (Support)'!$O$4:$O$166))</f>
        <v>20</v>
      </c>
      <c r="K22" s="4">
        <f>SUMPRODUCT(('Monthly Occurrences (Support)'!$C$4:$C$166=$A22)*('Monthly Occurrences (Support)'!$D$4:$D$166="Physical")*('Monthly Occurrences (Support)'!$P$4:$P$166))</f>
        <v>28</v>
      </c>
      <c r="L22" s="4">
        <f>SUMPRODUCT(('Monthly Occurrences (Support)'!$C$4:$C$166=$A22)*('Monthly Occurrences (Support)'!$D$4:$D$166="Physical")*('Monthly Occurrences (Support)'!$Q$4:$Q$166))</f>
        <v>24</v>
      </c>
      <c r="M22" s="4">
        <f>SUMPRODUCT(('Monthly Occurrences (Support)'!$C$4:$C$166=$A22)*('Monthly Occurrences (Support)'!$D$4:$D$166="Physical")*('Monthly Occurrences (Support)'!$R$4:$R$166))</f>
        <v>28</v>
      </c>
      <c r="N22" s="4">
        <f>SUMPRODUCT(('Monthly Occurrences (Support)'!$C$4:$C$166=$A22)*('Monthly Occurrences (Support)'!$D$4:$D$166="Physical")*('Monthly Occurrences (Support)'!$S$4:$S$166))</f>
        <v>10</v>
      </c>
      <c r="O22" s="4">
        <f>SUMPRODUCT(('Monthly Occurrences (Support)'!$C$4:$C$166=$A22)*('Monthly Occurrences (Support)'!$D$4:$D$166="Physical")*('Monthly Occurrences (Support)'!$T$4:$T$166))</f>
        <v>6</v>
      </c>
      <c r="P22" s="4">
        <f>SUMPRODUCT(('Monthly Occurrences (Support)'!$C$4:$C$166=$A22)*('Monthly Occurrences (Support)'!$D$4:$D$166="Physical")*('Monthly Occurrences (Support)'!$U$4:$U$166))</f>
        <v>0</v>
      </c>
      <c r="Q22" s="4">
        <f>SUMPRODUCT(('Monthly Occurrences (Support)'!$C$4:$C$166=$A22)*('Monthly Occurrences (Support)'!$D$4:$D$166="Physical")*('Monthly Occurrences (Support)'!$V$4:$V$166))</f>
        <v>0</v>
      </c>
      <c r="R22" s="4">
        <f>SUMPRODUCT(('Monthly Occurrences (Support)'!$C$4:$C$166=$A22)*('Monthly Occurrences (Support)'!$D$4:$D$166="Physical")*('Monthly Occurrences (Support)'!$W$4:$W$166))</f>
        <v>0</v>
      </c>
      <c r="S22" s="4">
        <f>SUMPRODUCT(('Monthly Occurrences (Support)'!$C$4:$C$166=$A22)*('Monthly Occurrences (Support)'!$D$4:$D$166="Physical")*('Monthly Occurrences (Support)'!$X$4:$X$166))</f>
        <v>0</v>
      </c>
      <c r="T22" s="4">
        <f>SUMPRODUCT(('Monthly Occurrences (Support)'!$C$4:$C$166=$A22)*('Monthly Occurrences (Support)'!$D$4:$D$166="Physical")*('Monthly Occurrences (Support)'!$Y$4:$Y$166))</f>
        <v>0</v>
      </c>
      <c r="U22" s="4">
        <f>SUMPRODUCT(('Monthly Occurrences (Support)'!$C$4:$C$166=$A22)*('Monthly Occurrences (Support)'!$D$4:$D$166="Physical")*('Monthly Occurrences (Support)'!$Z$4:$Z$166))</f>
        <v>0</v>
      </c>
      <c r="V22" s="4">
        <f>SUMPRODUCT(('Monthly Occurrences (Support)'!$C$4:$C$166=$A22)*('Monthly Occurrences (Support)'!$D$4:$D$166="Physical")*('Monthly Occurrences (Support)'!$AA$4:$AA$166))</f>
        <v>0</v>
      </c>
      <c r="W22" s="4">
        <f>SUMPRODUCT(('Monthly Occurrences (Support)'!$C$4:$C$166=$A22)*('Monthly Occurrences (Support)'!$D$4:$D$166="Physical")*('Monthly Occurrences (Support)'!$AB$4:$AB$166))</f>
        <v>0</v>
      </c>
    </row>
    <row r="23" spans="1:23" x14ac:dyDescent="0.25">
      <c r="A23" s="16" t="s">
        <v>51</v>
      </c>
      <c r="B23" s="7">
        <f>SUMPRODUCT(('Monthly Occurrences (Support)'!$C$4:$C$166=$A23)*('Monthly Occurrences (Support)'!$D$4:$D$166="Physical")*('Monthly Occurrences (Support)'!$G$4:$G$166))</f>
        <v>0</v>
      </c>
      <c r="C23" s="7">
        <f>SUMPRODUCT(('Monthly Occurrences (Support)'!$C$4:$C$166=$A23)*('Monthly Occurrences (Support)'!$D$4:$D$166="Physical")*('Monthly Occurrences (Support)'!$H$4:$H$166))</f>
        <v>0</v>
      </c>
      <c r="D23" s="7">
        <f>SUMPRODUCT(('Monthly Occurrences (Support)'!$C$4:$C$166=$A23)*('Monthly Occurrences (Support)'!$D$4:$D$166="Physical")*('Monthly Occurrences (Support)'!$I$4:$I$166))</f>
        <v>0</v>
      </c>
      <c r="E23" s="7">
        <f>SUMPRODUCT(('Monthly Occurrences (Support)'!$C$4:$C$166=$A23)*('Monthly Occurrences (Support)'!$D$4:$D$166="Physical")*('Monthly Occurrences (Support)'!$J$4:$J$166))</f>
        <v>0</v>
      </c>
      <c r="F23" s="7">
        <f>SUMPRODUCT(('Monthly Occurrences (Support)'!$C$4:$C$166=$A23)*('Monthly Occurrences (Support)'!$D$4:$D$166="Physical")*('Monthly Occurrences (Support)'!$K$4:$K$166))</f>
        <v>6</v>
      </c>
      <c r="G23" s="7">
        <f>SUMPRODUCT(('Monthly Occurrences (Support)'!$C$4:$C$166=$A23)*('Monthly Occurrences (Support)'!$D$4:$D$166="Physical")*('Monthly Occurrences (Support)'!$L$4:$L$166))</f>
        <v>17</v>
      </c>
      <c r="H23" s="7">
        <f>SUMPRODUCT(('Monthly Occurrences (Support)'!$C$4:$C$166=$A23)*('Monthly Occurrences (Support)'!$D$4:$D$166="Physical")*('Monthly Occurrences (Support)'!$M$4:$M$166))</f>
        <v>30</v>
      </c>
      <c r="I23" s="7">
        <f>SUMPRODUCT(('Monthly Occurrences (Support)'!$C$4:$C$166=$A23)*('Monthly Occurrences (Support)'!$D$4:$D$166="Physical")*('Monthly Occurrences (Support)'!$N$4:$N$166))</f>
        <v>29</v>
      </c>
      <c r="J23" s="7">
        <f>SUMPRODUCT(('Monthly Occurrences (Support)'!$C$4:$C$166=$A23)*('Monthly Occurrences (Support)'!$D$4:$D$166="Physical")*('Monthly Occurrences (Support)'!$O$4:$O$166))</f>
        <v>35</v>
      </c>
      <c r="K23" s="7">
        <f>SUMPRODUCT(('Monthly Occurrences (Support)'!$C$4:$C$166=$A23)*('Monthly Occurrences (Support)'!$D$4:$D$166="Physical")*('Monthly Occurrences (Support)'!$P$4:$P$166))</f>
        <v>27</v>
      </c>
      <c r="L23" s="7">
        <f>SUMPRODUCT(('Monthly Occurrences (Support)'!$C$4:$C$166=$A23)*('Monthly Occurrences (Support)'!$D$4:$D$166="Physical")*('Monthly Occurrences (Support)'!$Q$4:$Q$166))</f>
        <v>24</v>
      </c>
      <c r="M23" s="7">
        <f>SUMPRODUCT(('Monthly Occurrences (Support)'!$C$4:$C$166=$A23)*('Monthly Occurrences (Support)'!$D$4:$D$166="Physical")*('Monthly Occurrences (Support)'!$R$4:$R$166))</f>
        <v>16</v>
      </c>
      <c r="N23" s="7">
        <f>SUMPRODUCT(('Monthly Occurrences (Support)'!$C$4:$C$166=$A23)*('Monthly Occurrences (Support)'!$D$4:$D$166="Physical")*('Monthly Occurrences (Support)'!$S$4:$S$166))</f>
        <v>4</v>
      </c>
      <c r="O23" s="7">
        <f>SUMPRODUCT(('Monthly Occurrences (Support)'!$C$4:$C$166=$A23)*('Monthly Occurrences (Support)'!$D$4:$D$166="Physical")*('Monthly Occurrences (Support)'!$T$4:$T$166))</f>
        <v>1</v>
      </c>
      <c r="P23" s="7">
        <f>SUMPRODUCT(('Monthly Occurrences (Support)'!$C$4:$C$166=$A23)*('Monthly Occurrences (Support)'!$D$4:$D$166="Physical")*('Monthly Occurrences (Support)'!$U$4:$U$166))</f>
        <v>0</v>
      </c>
      <c r="Q23" s="7">
        <f>SUMPRODUCT(('Monthly Occurrences (Support)'!$C$4:$C$166=$A23)*('Monthly Occurrences (Support)'!$D$4:$D$166="Physical")*('Monthly Occurrences (Support)'!$V$4:$V$166))</f>
        <v>0</v>
      </c>
      <c r="R23" s="7">
        <f>SUMPRODUCT(('Monthly Occurrences (Support)'!$C$4:$C$166=$A23)*('Monthly Occurrences (Support)'!$D$4:$D$166="Physical")*('Monthly Occurrences (Support)'!$W$4:$W$166))</f>
        <v>0</v>
      </c>
      <c r="S23" s="7">
        <f>SUMPRODUCT(('Monthly Occurrences (Support)'!$C$4:$C$166=$A23)*('Monthly Occurrences (Support)'!$D$4:$D$166="Physical")*('Monthly Occurrences (Support)'!$X$4:$X$166))</f>
        <v>0</v>
      </c>
      <c r="T23" s="7">
        <f>SUMPRODUCT(('Monthly Occurrences (Support)'!$C$4:$C$166=$A23)*('Monthly Occurrences (Support)'!$D$4:$D$166="Physical")*('Monthly Occurrences (Support)'!$Y$4:$Y$166))</f>
        <v>0</v>
      </c>
      <c r="U23" s="7">
        <f>SUMPRODUCT(('Monthly Occurrences (Support)'!$C$4:$C$166=$A23)*('Monthly Occurrences (Support)'!$D$4:$D$166="Physical")*('Monthly Occurrences (Support)'!$Z$4:$Z$166))</f>
        <v>0</v>
      </c>
      <c r="V23" s="7">
        <f>SUMPRODUCT(('Monthly Occurrences (Support)'!$C$4:$C$166=$A23)*('Monthly Occurrences (Support)'!$D$4:$D$166="Physical")*('Monthly Occurrences (Support)'!$AA$4:$AA$166))</f>
        <v>0</v>
      </c>
      <c r="W23" s="7">
        <f>SUMPRODUCT(('Monthly Occurrences (Support)'!$C$4:$C$166=$A23)*('Monthly Occurrences (Support)'!$D$4:$D$166="Physical")*('Monthly Occurrences (Support)'!$AB$4:$AB$166))</f>
        <v>0</v>
      </c>
    </row>
    <row r="24" spans="1:23" x14ac:dyDescent="0.25">
      <c r="A24" s="15" t="s">
        <v>52</v>
      </c>
      <c r="B24" s="4">
        <f>SUMPRODUCT(('Monthly Occurrences (Support)'!$C$4:$C$166=$A24)*('Monthly Occurrences (Support)'!$D$4:$D$166="Physical")*('Monthly Occurrences (Support)'!$G$4:$G$166))</f>
        <v>0</v>
      </c>
      <c r="C24" s="4">
        <f>SUMPRODUCT(('Monthly Occurrences (Support)'!$C$4:$C$166=$A24)*('Monthly Occurrences (Support)'!$D$4:$D$166="Physical")*('Monthly Occurrences (Support)'!$H$4:$H$166))</f>
        <v>0</v>
      </c>
      <c r="D24" s="4">
        <f>SUMPRODUCT(('Monthly Occurrences (Support)'!$C$4:$C$166=$A24)*('Monthly Occurrences (Support)'!$D$4:$D$166="Physical")*('Monthly Occurrences (Support)'!$I$4:$I$166))</f>
        <v>0</v>
      </c>
      <c r="E24" s="4">
        <f>SUMPRODUCT(('Monthly Occurrences (Support)'!$C$4:$C$166=$A24)*('Monthly Occurrences (Support)'!$D$4:$D$166="Physical")*('Monthly Occurrences (Support)'!$J$4:$J$166))</f>
        <v>0</v>
      </c>
      <c r="F24" s="4">
        <f>SUMPRODUCT(('Monthly Occurrences (Support)'!$C$4:$C$166=$A24)*('Monthly Occurrences (Support)'!$D$4:$D$166="Physical")*('Monthly Occurrences (Support)'!$K$4:$K$166))</f>
        <v>0</v>
      </c>
      <c r="G24" s="4">
        <f>SUMPRODUCT(('Monthly Occurrences (Support)'!$C$4:$C$166=$A24)*('Monthly Occurrences (Support)'!$D$4:$D$166="Physical")*('Monthly Occurrences (Support)'!$L$4:$L$166))</f>
        <v>5</v>
      </c>
      <c r="H24" s="4">
        <f>SUMPRODUCT(('Monthly Occurrences (Support)'!$C$4:$C$166=$A24)*('Monthly Occurrences (Support)'!$D$4:$D$166="Physical")*('Monthly Occurrences (Support)'!$M$4:$M$166))</f>
        <v>8</v>
      </c>
      <c r="I24" s="4">
        <f>SUMPRODUCT(('Monthly Occurrences (Support)'!$C$4:$C$166=$A24)*('Monthly Occurrences (Support)'!$D$4:$D$166="Physical")*('Monthly Occurrences (Support)'!$N$4:$N$166))</f>
        <v>8</v>
      </c>
      <c r="J24" s="4">
        <f>SUMPRODUCT(('Monthly Occurrences (Support)'!$C$4:$C$166=$A24)*('Monthly Occurrences (Support)'!$D$4:$D$166="Physical")*('Monthly Occurrences (Support)'!$O$4:$O$166))</f>
        <v>22</v>
      </c>
      <c r="K24" s="4">
        <f>SUMPRODUCT(('Monthly Occurrences (Support)'!$C$4:$C$166=$A24)*('Monthly Occurrences (Support)'!$D$4:$D$166="Physical")*('Monthly Occurrences (Support)'!$P$4:$P$166))</f>
        <v>23</v>
      </c>
      <c r="L24" s="4">
        <f>SUMPRODUCT(('Monthly Occurrences (Support)'!$C$4:$C$166=$A24)*('Monthly Occurrences (Support)'!$D$4:$D$166="Physical")*('Monthly Occurrences (Support)'!$Q$4:$Q$166))</f>
        <v>16</v>
      </c>
      <c r="M24" s="4">
        <f>SUMPRODUCT(('Monthly Occurrences (Support)'!$C$4:$C$166=$A24)*('Monthly Occurrences (Support)'!$D$4:$D$166="Physical")*('Monthly Occurrences (Support)'!$R$4:$R$166))</f>
        <v>17</v>
      </c>
      <c r="N24" s="4">
        <f>SUMPRODUCT(('Monthly Occurrences (Support)'!$C$4:$C$166=$A24)*('Monthly Occurrences (Support)'!$D$4:$D$166="Physical")*('Monthly Occurrences (Support)'!$S$4:$S$166))</f>
        <v>17</v>
      </c>
      <c r="O24" s="4">
        <f>SUMPRODUCT(('Monthly Occurrences (Support)'!$C$4:$C$166=$A24)*('Monthly Occurrences (Support)'!$D$4:$D$166="Physical")*('Monthly Occurrences (Support)'!$T$4:$T$166))</f>
        <v>3</v>
      </c>
      <c r="P24" s="4">
        <f>SUMPRODUCT(('Monthly Occurrences (Support)'!$C$4:$C$166=$A24)*('Monthly Occurrences (Support)'!$D$4:$D$166="Physical")*('Monthly Occurrences (Support)'!$U$4:$U$166))</f>
        <v>0</v>
      </c>
      <c r="Q24" s="4">
        <f>SUMPRODUCT(('Monthly Occurrences (Support)'!$C$4:$C$166=$A24)*('Monthly Occurrences (Support)'!$D$4:$D$166="Physical")*('Monthly Occurrences (Support)'!$V$4:$V$166))</f>
        <v>0</v>
      </c>
      <c r="R24" s="4">
        <f>SUMPRODUCT(('Monthly Occurrences (Support)'!$C$4:$C$166=$A24)*('Monthly Occurrences (Support)'!$D$4:$D$166="Physical")*('Monthly Occurrences (Support)'!$W$4:$W$166))</f>
        <v>0</v>
      </c>
      <c r="S24" s="4">
        <f>SUMPRODUCT(('Monthly Occurrences (Support)'!$C$4:$C$166=$A24)*('Monthly Occurrences (Support)'!$D$4:$D$166="Physical")*('Monthly Occurrences (Support)'!$X$4:$X$166))</f>
        <v>0</v>
      </c>
      <c r="T24" s="4">
        <f>SUMPRODUCT(('Monthly Occurrences (Support)'!$C$4:$C$166=$A24)*('Monthly Occurrences (Support)'!$D$4:$D$166="Physical")*('Monthly Occurrences (Support)'!$Y$4:$Y$166))</f>
        <v>0</v>
      </c>
      <c r="U24" s="4">
        <f>SUMPRODUCT(('Monthly Occurrences (Support)'!$C$4:$C$166=$A24)*('Monthly Occurrences (Support)'!$D$4:$D$166="Physical")*('Monthly Occurrences (Support)'!$Z$4:$Z$166))</f>
        <v>0</v>
      </c>
      <c r="V24" s="4">
        <f>SUMPRODUCT(('Monthly Occurrences (Support)'!$C$4:$C$166=$A24)*('Monthly Occurrences (Support)'!$D$4:$D$166="Physical")*('Monthly Occurrences (Support)'!$AA$4:$AA$166))</f>
        <v>0</v>
      </c>
      <c r="W24" s="4">
        <f>SUMPRODUCT(('Monthly Occurrences (Support)'!$C$4:$C$166=$A24)*('Monthly Occurrences (Support)'!$D$4:$D$166="Physical")*('Monthly Occurrences (Support)'!$AB$4:$AB$166))</f>
        <v>0</v>
      </c>
    </row>
    <row r="25" spans="1:23" x14ac:dyDescent="0.25">
      <c r="A25" s="16" t="s">
        <v>53</v>
      </c>
      <c r="B25" s="7">
        <f>SUMPRODUCT(('Monthly Occurrences (Support)'!$C$4:$C$166=$A25)*('Monthly Occurrences (Support)'!$D$4:$D$166="Physical")*('Monthly Occurrences (Support)'!$G$4:$G$166))</f>
        <v>0</v>
      </c>
      <c r="C25" s="7">
        <f>SUMPRODUCT(('Monthly Occurrences (Support)'!$C$4:$C$166=$A25)*('Monthly Occurrences (Support)'!$D$4:$D$166="Physical")*('Monthly Occurrences (Support)'!$H$4:$H$166))</f>
        <v>0</v>
      </c>
      <c r="D25" s="7">
        <f>SUMPRODUCT(('Monthly Occurrences (Support)'!$C$4:$C$166=$A25)*('Monthly Occurrences (Support)'!$D$4:$D$166="Physical")*('Monthly Occurrences (Support)'!$I$4:$I$166))</f>
        <v>0</v>
      </c>
      <c r="E25" s="7">
        <f>SUMPRODUCT(('Monthly Occurrences (Support)'!$C$4:$C$166=$A25)*('Monthly Occurrences (Support)'!$D$4:$D$166="Physical")*('Monthly Occurrences (Support)'!$J$4:$J$166))</f>
        <v>0</v>
      </c>
      <c r="F25" s="7">
        <f>SUMPRODUCT(('Monthly Occurrences (Support)'!$C$4:$C$166=$A25)*('Monthly Occurrences (Support)'!$D$4:$D$166="Physical")*('Monthly Occurrences (Support)'!$K$4:$K$166))</f>
        <v>3</v>
      </c>
      <c r="G25" s="7">
        <f>SUMPRODUCT(('Monthly Occurrences (Support)'!$C$4:$C$166=$A25)*('Monthly Occurrences (Support)'!$D$4:$D$166="Physical")*('Monthly Occurrences (Support)'!$L$4:$L$166))</f>
        <v>9</v>
      </c>
      <c r="H25" s="7">
        <f>SUMPRODUCT(('Monthly Occurrences (Support)'!$C$4:$C$166=$A25)*('Monthly Occurrences (Support)'!$D$4:$D$166="Physical")*('Monthly Occurrences (Support)'!$M$4:$M$166))</f>
        <v>18</v>
      </c>
      <c r="I25" s="7">
        <f>SUMPRODUCT(('Monthly Occurrences (Support)'!$C$4:$C$166=$A25)*('Monthly Occurrences (Support)'!$D$4:$D$166="Physical")*('Monthly Occurrences (Support)'!$N$4:$N$166))</f>
        <v>18</v>
      </c>
      <c r="J25" s="7">
        <f>SUMPRODUCT(('Monthly Occurrences (Support)'!$C$4:$C$166=$A25)*('Monthly Occurrences (Support)'!$D$4:$D$166="Physical")*('Monthly Occurrences (Support)'!$O$4:$O$166))</f>
        <v>25</v>
      </c>
      <c r="K25" s="7">
        <f>SUMPRODUCT(('Monthly Occurrences (Support)'!$C$4:$C$166=$A25)*('Monthly Occurrences (Support)'!$D$4:$D$166="Physical")*('Monthly Occurrences (Support)'!$P$4:$P$166))</f>
        <v>25</v>
      </c>
      <c r="L25" s="7">
        <f>SUMPRODUCT(('Monthly Occurrences (Support)'!$C$4:$C$166=$A25)*('Monthly Occurrences (Support)'!$D$4:$D$166="Physical")*('Monthly Occurrences (Support)'!$Q$4:$Q$166))</f>
        <v>22</v>
      </c>
      <c r="M25" s="7">
        <f>SUMPRODUCT(('Monthly Occurrences (Support)'!$C$4:$C$166=$A25)*('Monthly Occurrences (Support)'!$D$4:$D$166="Physical")*('Monthly Occurrences (Support)'!$R$4:$R$166))</f>
        <v>14</v>
      </c>
      <c r="N25" s="7">
        <f>SUMPRODUCT(('Monthly Occurrences (Support)'!$C$4:$C$166=$A25)*('Monthly Occurrences (Support)'!$D$4:$D$166="Physical")*('Monthly Occurrences (Support)'!$S$4:$S$166))</f>
        <v>11</v>
      </c>
      <c r="O25" s="7">
        <f>SUMPRODUCT(('Monthly Occurrences (Support)'!$C$4:$C$166=$A25)*('Monthly Occurrences (Support)'!$D$4:$D$166="Physical")*('Monthly Occurrences (Support)'!$T$4:$T$166))</f>
        <v>4</v>
      </c>
      <c r="P25" s="7">
        <f>SUMPRODUCT(('Monthly Occurrences (Support)'!$C$4:$C$166=$A25)*('Monthly Occurrences (Support)'!$D$4:$D$166="Physical")*('Monthly Occurrences (Support)'!$U$4:$U$166))</f>
        <v>0</v>
      </c>
      <c r="Q25" s="7">
        <f>SUMPRODUCT(('Monthly Occurrences (Support)'!$C$4:$C$166=$A25)*('Monthly Occurrences (Support)'!$D$4:$D$166="Physical")*('Monthly Occurrences (Support)'!$V$4:$V$166))</f>
        <v>0</v>
      </c>
      <c r="R25" s="7">
        <f>SUMPRODUCT(('Monthly Occurrences (Support)'!$C$4:$C$166=$A25)*('Monthly Occurrences (Support)'!$D$4:$D$166="Physical")*('Monthly Occurrences (Support)'!$W$4:$W$166))</f>
        <v>0</v>
      </c>
      <c r="S25" s="7">
        <f>SUMPRODUCT(('Monthly Occurrences (Support)'!$C$4:$C$166=$A25)*('Monthly Occurrences (Support)'!$D$4:$D$166="Physical")*('Monthly Occurrences (Support)'!$X$4:$X$166))</f>
        <v>0</v>
      </c>
      <c r="T25" s="7">
        <f>SUMPRODUCT(('Monthly Occurrences (Support)'!$C$4:$C$166=$A25)*('Monthly Occurrences (Support)'!$D$4:$D$166="Physical")*('Monthly Occurrences (Support)'!$Y$4:$Y$166))</f>
        <v>0</v>
      </c>
      <c r="U25" s="7">
        <f>SUMPRODUCT(('Monthly Occurrences (Support)'!$C$4:$C$166=$A25)*('Monthly Occurrences (Support)'!$D$4:$D$166="Physical")*('Monthly Occurrences (Support)'!$Z$4:$Z$166))</f>
        <v>0</v>
      </c>
      <c r="V25" s="7">
        <f>SUMPRODUCT(('Monthly Occurrences (Support)'!$C$4:$C$166=$A25)*('Monthly Occurrences (Support)'!$D$4:$D$166="Physical")*('Monthly Occurrences (Support)'!$AA$4:$AA$166))</f>
        <v>0</v>
      </c>
      <c r="W25" s="7">
        <f>SUMPRODUCT(('Monthly Occurrences (Support)'!$C$4:$C$166=$A25)*('Monthly Occurrences (Support)'!$D$4:$D$166="Physical")*('Monthly Occurrences (Support)'!$AB$4:$AB$166))</f>
        <v>0</v>
      </c>
    </row>
    <row r="26" spans="1:23" x14ac:dyDescent="0.25">
      <c r="A26" s="15" t="s">
        <v>54</v>
      </c>
      <c r="B26" s="4">
        <f>SUMPRODUCT(('Monthly Occurrences (Support)'!$C$4:$C$166=$A26)*('Monthly Occurrences (Support)'!$D$4:$D$166="Physical")*('Monthly Occurrences (Support)'!$G$4:$G$166))</f>
        <v>0</v>
      </c>
      <c r="C26" s="4">
        <f>SUMPRODUCT(('Monthly Occurrences (Support)'!$C$4:$C$166=$A26)*('Monthly Occurrences (Support)'!$D$4:$D$166="Physical")*('Monthly Occurrences (Support)'!$H$4:$H$166))</f>
        <v>0</v>
      </c>
      <c r="D26" s="4">
        <f>SUMPRODUCT(('Monthly Occurrences (Support)'!$C$4:$C$166=$A26)*('Monthly Occurrences (Support)'!$D$4:$D$166="Physical")*('Monthly Occurrences (Support)'!$I$4:$I$166))</f>
        <v>0</v>
      </c>
      <c r="E26" s="4">
        <f>SUMPRODUCT(('Monthly Occurrences (Support)'!$C$4:$C$166=$A26)*('Monthly Occurrences (Support)'!$D$4:$D$166="Physical")*('Monthly Occurrences (Support)'!$J$4:$J$166))</f>
        <v>0</v>
      </c>
      <c r="F26" s="4">
        <f>SUMPRODUCT(('Monthly Occurrences (Support)'!$C$4:$C$166=$A26)*('Monthly Occurrences (Support)'!$D$4:$D$166="Physical")*('Monthly Occurrences (Support)'!$K$4:$K$166))</f>
        <v>0</v>
      </c>
      <c r="G26" s="4">
        <f>SUMPRODUCT(('Monthly Occurrences (Support)'!$C$4:$C$166=$A26)*('Monthly Occurrences (Support)'!$D$4:$D$166="Physical")*('Monthly Occurrences (Support)'!$L$4:$L$166))</f>
        <v>8</v>
      </c>
      <c r="H26" s="4">
        <f>SUMPRODUCT(('Monthly Occurrences (Support)'!$C$4:$C$166=$A26)*('Monthly Occurrences (Support)'!$D$4:$D$166="Physical")*('Monthly Occurrences (Support)'!$M$4:$M$166))</f>
        <v>14</v>
      </c>
      <c r="I26" s="4">
        <f>SUMPRODUCT(('Monthly Occurrences (Support)'!$C$4:$C$166=$A26)*('Monthly Occurrences (Support)'!$D$4:$D$166="Physical")*('Monthly Occurrences (Support)'!$N$4:$N$166))</f>
        <v>12</v>
      </c>
      <c r="J26" s="4">
        <f>SUMPRODUCT(('Monthly Occurrences (Support)'!$C$4:$C$166=$A26)*('Monthly Occurrences (Support)'!$D$4:$D$166="Physical")*('Monthly Occurrences (Support)'!$O$4:$O$166))</f>
        <v>23</v>
      </c>
      <c r="K26" s="4">
        <f>SUMPRODUCT(('Monthly Occurrences (Support)'!$C$4:$C$166=$A26)*('Monthly Occurrences (Support)'!$D$4:$D$166="Physical")*('Monthly Occurrences (Support)'!$P$4:$P$166))</f>
        <v>27</v>
      </c>
      <c r="L26" s="4">
        <f>SUMPRODUCT(('Monthly Occurrences (Support)'!$C$4:$C$166=$A26)*('Monthly Occurrences (Support)'!$D$4:$D$166="Physical")*('Monthly Occurrences (Support)'!$Q$4:$Q$166))</f>
        <v>21</v>
      </c>
      <c r="M26" s="4">
        <f>SUMPRODUCT(('Monthly Occurrences (Support)'!$C$4:$C$166=$A26)*('Monthly Occurrences (Support)'!$D$4:$D$166="Physical")*('Monthly Occurrences (Support)'!$R$4:$R$166))</f>
        <v>21</v>
      </c>
      <c r="N26" s="4">
        <f>SUMPRODUCT(('Monthly Occurrences (Support)'!$C$4:$C$166=$A26)*('Monthly Occurrences (Support)'!$D$4:$D$166="Physical")*('Monthly Occurrences (Support)'!$S$4:$S$166))</f>
        <v>7</v>
      </c>
      <c r="O26" s="4">
        <f>SUMPRODUCT(('Monthly Occurrences (Support)'!$C$4:$C$166=$A26)*('Monthly Occurrences (Support)'!$D$4:$D$166="Physical")*('Monthly Occurrences (Support)'!$T$4:$T$166))</f>
        <v>0</v>
      </c>
      <c r="P26" s="4">
        <f>SUMPRODUCT(('Monthly Occurrences (Support)'!$C$4:$C$166=$A26)*('Monthly Occurrences (Support)'!$D$4:$D$166="Physical")*('Monthly Occurrences (Support)'!$U$4:$U$166))</f>
        <v>0</v>
      </c>
      <c r="Q26" s="4">
        <f>SUMPRODUCT(('Monthly Occurrences (Support)'!$C$4:$C$166=$A26)*('Monthly Occurrences (Support)'!$D$4:$D$166="Physical")*('Monthly Occurrences (Support)'!$V$4:$V$166))</f>
        <v>0</v>
      </c>
      <c r="R26" s="4">
        <f>SUMPRODUCT(('Monthly Occurrences (Support)'!$C$4:$C$166=$A26)*('Monthly Occurrences (Support)'!$D$4:$D$166="Physical")*('Monthly Occurrences (Support)'!$W$4:$W$166))</f>
        <v>0</v>
      </c>
      <c r="S26" s="4">
        <f>SUMPRODUCT(('Monthly Occurrences (Support)'!$C$4:$C$166=$A26)*('Monthly Occurrences (Support)'!$D$4:$D$166="Physical")*('Monthly Occurrences (Support)'!$X$4:$X$166))</f>
        <v>0</v>
      </c>
      <c r="T26" s="4">
        <f>SUMPRODUCT(('Monthly Occurrences (Support)'!$C$4:$C$166=$A26)*('Monthly Occurrences (Support)'!$D$4:$D$166="Physical")*('Monthly Occurrences (Support)'!$Y$4:$Y$166))</f>
        <v>0</v>
      </c>
      <c r="U26" s="4">
        <f>SUMPRODUCT(('Monthly Occurrences (Support)'!$C$4:$C$166=$A26)*('Monthly Occurrences (Support)'!$D$4:$D$166="Physical")*('Monthly Occurrences (Support)'!$Z$4:$Z$166))</f>
        <v>0</v>
      </c>
      <c r="V26" s="4">
        <f>SUMPRODUCT(('Monthly Occurrences (Support)'!$C$4:$C$166=$A26)*('Monthly Occurrences (Support)'!$D$4:$D$166="Physical")*('Monthly Occurrences (Support)'!$AA$4:$AA$166))</f>
        <v>0</v>
      </c>
      <c r="W26" s="4">
        <f>SUMPRODUCT(('Monthly Occurrences (Support)'!$C$4:$C$166=$A26)*('Monthly Occurrences (Support)'!$D$4:$D$166="Physical")*('Monthly Occurrences (Support)'!$AB$4:$AB$166))</f>
        <v>0</v>
      </c>
    </row>
    <row r="27" spans="1:23" x14ac:dyDescent="0.25">
      <c r="A27" s="16" t="s">
        <v>55</v>
      </c>
      <c r="B27" s="7">
        <f>SUMPRODUCT(('Monthly Occurrences (Support)'!$C$4:$C$166=$A27)*('Monthly Occurrences (Support)'!$D$4:$D$166="Physical")*('Monthly Occurrences (Support)'!$G$4:$G$166))</f>
        <v>0</v>
      </c>
      <c r="C27" s="7">
        <f>SUMPRODUCT(('Monthly Occurrences (Support)'!$C$4:$C$166=$A27)*('Monthly Occurrences (Support)'!$D$4:$D$166="Physical")*('Monthly Occurrences (Support)'!$H$4:$H$166))</f>
        <v>0</v>
      </c>
      <c r="D27" s="7">
        <f>SUMPRODUCT(('Monthly Occurrences (Support)'!$C$4:$C$166=$A27)*('Monthly Occurrences (Support)'!$D$4:$D$166="Physical")*('Monthly Occurrences (Support)'!$I$4:$I$166))</f>
        <v>0</v>
      </c>
      <c r="E27" s="7">
        <f>SUMPRODUCT(('Monthly Occurrences (Support)'!$C$4:$C$166=$A27)*('Monthly Occurrences (Support)'!$D$4:$D$166="Physical")*('Monthly Occurrences (Support)'!$J$4:$J$166))</f>
        <v>0</v>
      </c>
      <c r="F27" s="7">
        <f>SUMPRODUCT(('Monthly Occurrences (Support)'!$C$4:$C$166=$A27)*('Monthly Occurrences (Support)'!$D$4:$D$166="Physical")*('Monthly Occurrences (Support)'!$K$4:$K$166))</f>
        <v>2</v>
      </c>
      <c r="G27" s="7">
        <f>SUMPRODUCT(('Monthly Occurrences (Support)'!$C$4:$C$166=$A27)*('Monthly Occurrences (Support)'!$D$4:$D$166="Physical")*('Monthly Occurrences (Support)'!$L$4:$L$166))</f>
        <v>5</v>
      </c>
      <c r="H27" s="7">
        <f>SUMPRODUCT(('Monthly Occurrences (Support)'!$C$4:$C$166=$A27)*('Monthly Occurrences (Support)'!$D$4:$D$166="Physical")*('Monthly Occurrences (Support)'!$M$4:$M$166))</f>
        <v>4</v>
      </c>
      <c r="I27" s="7">
        <f>SUMPRODUCT(('Monthly Occurrences (Support)'!$C$4:$C$166=$A27)*('Monthly Occurrences (Support)'!$D$4:$D$166="Physical")*('Monthly Occurrences (Support)'!$N$4:$N$166))</f>
        <v>6</v>
      </c>
      <c r="J27" s="7">
        <f>SUMPRODUCT(('Monthly Occurrences (Support)'!$C$4:$C$166=$A27)*('Monthly Occurrences (Support)'!$D$4:$D$166="Physical")*('Monthly Occurrences (Support)'!$O$4:$O$166))</f>
        <v>15</v>
      </c>
      <c r="K27" s="7">
        <f>SUMPRODUCT(('Monthly Occurrences (Support)'!$C$4:$C$166=$A27)*('Monthly Occurrences (Support)'!$D$4:$D$166="Physical")*('Monthly Occurrences (Support)'!$P$4:$P$166))</f>
        <v>14</v>
      </c>
      <c r="L27" s="7">
        <f>SUMPRODUCT(('Monthly Occurrences (Support)'!$C$4:$C$166=$A27)*('Monthly Occurrences (Support)'!$D$4:$D$166="Physical")*('Monthly Occurrences (Support)'!$Q$4:$Q$166))</f>
        <v>13</v>
      </c>
      <c r="M27" s="7">
        <f>SUMPRODUCT(('Monthly Occurrences (Support)'!$C$4:$C$166=$A27)*('Monthly Occurrences (Support)'!$D$4:$D$166="Physical")*('Monthly Occurrences (Support)'!$R$4:$R$166))</f>
        <v>14</v>
      </c>
      <c r="N27" s="7">
        <f>SUMPRODUCT(('Monthly Occurrences (Support)'!$C$4:$C$166=$A27)*('Monthly Occurrences (Support)'!$D$4:$D$166="Physical")*('Monthly Occurrences (Support)'!$S$4:$S$166))</f>
        <v>11</v>
      </c>
      <c r="O27" s="7">
        <f>SUMPRODUCT(('Monthly Occurrences (Support)'!$C$4:$C$166=$A27)*('Monthly Occurrences (Support)'!$D$4:$D$166="Physical")*('Monthly Occurrences (Support)'!$T$4:$T$166))</f>
        <v>4</v>
      </c>
      <c r="P27" s="7">
        <f>SUMPRODUCT(('Monthly Occurrences (Support)'!$C$4:$C$166=$A27)*('Monthly Occurrences (Support)'!$D$4:$D$166="Physical")*('Monthly Occurrences (Support)'!$U$4:$U$166))</f>
        <v>0</v>
      </c>
      <c r="Q27" s="7">
        <f>SUMPRODUCT(('Monthly Occurrences (Support)'!$C$4:$C$166=$A27)*('Monthly Occurrences (Support)'!$D$4:$D$166="Physical")*('Monthly Occurrences (Support)'!$V$4:$V$166))</f>
        <v>0</v>
      </c>
      <c r="R27" s="7">
        <f>SUMPRODUCT(('Monthly Occurrences (Support)'!$C$4:$C$166=$A27)*('Monthly Occurrences (Support)'!$D$4:$D$166="Physical")*('Monthly Occurrences (Support)'!$W$4:$W$166))</f>
        <v>0</v>
      </c>
      <c r="S27" s="7">
        <f>SUMPRODUCT(('Monthly Occurrences (Support)'!$C$4:$C$166=$A27)*('Monthly Occurrences (Support)'!$D$4:$D$166="Physical")*('Monthly Occurrences (Support)'!$X$4:$X$166))</f>
        <v>0</v>
      </c>
      <c r="T27" s="7">
        <f>SUMPRODUCT(('Monthly Occurrences (Support)'!$C$4:$C$166=$A27)*('Monthly Occurrences (Support)'!$D$4:$D$166="Physical")*('Monthly Occurrences (Support)'!$Y$4:$Y$166))</f>
        <v>0</v>
      </c>
      <c r="U27" s="7">
        <f>SUMPRODUCT(('Monthly Occurrences (Support)'!$C$4:$C$166=$A27)*('Monthly Occurrences (Support)'!$D$4:$D$166="Physical")*('Monthly Occurrences (Support)'!$Z$4:$Z$166))</f>
        <v>0</v>
      </c>
      <c r="V27" s="7">
        <f>SUMPRODUCT(('Monthly Occurrences (Support)'!$C$4:$C$166=$A27)*('Monthly Occurrences (Support)'!$D$4:$D$166="Physical")*('Monthly Occurrences (Support)'!$AA$4:$AA$166))</f>
        <v>0</v>
      </c>
      <c r="W27" s="7">
        <f>SUMPRODUCT(('Monthly Occurrences (Support)'!$C$4:$C$166=$A27)*('Monthly Occurrences (Support)'!$D$4:$D$166="Physical")*('Monthly Occurrences (Support)'!$AB$4:$AB$166))</f>
        <v>0</v>
      </c>
    </row>
    <row r="28" spans="1:23" x14ac:dyDescent="0.25">
      <c r="A28" s="15" t="s">
        <v>56</v>
      </c>
      <c r="B28" s="4">
        <f>SUMPRODUCT(('Monthly Occurrences (Support)'!$C$4:$C$166=$A28)*('Monthly Occurrences (Support)'!$D$4:$D$166="Physical")*('Monthly Occurrences (Support)'!$G$4:$G$166))</f>
        <v>0</v>
      </c>
      <c r="C28" s="4">
        <f>SUMPRODUCT(('Monthly Occurrences (Support)'!$C$4:$C$166=$A28)*('Monthly Occurrences (Support)'!$D$4:$D$166="Physical")*('Monthly Occurrences (Support)'!$H$4:$H$166))</f>
        <v>0</v>
      </c>
      <c r="D28" s="4">
        <f>SUMPRODUCT(('Monthly Occurrences (Support)'!$C$4:$C$166=$A28)*('Monthly Occurrences (Support)'!$D$4:$D$166="Physical")*('Monthly Occurrences (Support)'!$I$4:$I$166))</f>
        <v>0</v>
      </c>
      <c r="E28" s="4">
        <f>SUMPRODUCT(('Monthly Occurrences (Support)'!$C$4:$C$166=$A28)*('Monthly Occurrences (Support)'!$D$4:$D$166="Physical")*('Monthly Occurrences (Support)'!$J$4:$J$166))</f>
        <v>0</v>
      </c>
      <c r="F28" s="4">
        <f>SUMPRODUCT(('Monthly Occurrences (Support)'!$C$4:$C$166=$A28)*('Monthly Occurrences (Support)'!$D$4:$D$166="Physical")*('Monthly Occurrences (Support)'!$K$4:$K$166))</f>
        <v>3</v>
      </c>
      <c r="G28" s="4">
        <f>SUMPRODUCT(('Monthly Occurrences (Support)'!$C$4:$C$166=$A28)*('Monthly Occurrences (Support)'!$D$4:$D$166="Physical")*('Monthly Occurrences (Support)'!$L$4:$L$166))</f>
        <v>11</v>
      </c>
      <c r="H28" s="4">
        <f>SUMPRODUCT(('Monthly Occurrences (Support)'!$C$4:$C$166=$A28)*('Monthly Occurrences (Support)'!$D$4:$D$166="Physical")*('Monthly Occurrences (Support)'!$M$4:$M$166))</f>
        <v>19</v>
      </c>
      <c r="I28" s="4">
        <f>SUMPRODUCT(('Monthly Occurrences (Support)'!$C$4:$C$166=$A28)*('Monthly Occurrences (Support)'!$D$4:$D$166="Physical")*('Monthly Occurrences (Support)'!$N$4:$N$166))</f>
        <v>19</v>
      </c>
      <c r="J28" s="4">
        <f>SUMPRODUCT(('Monthly Occurrences (Support)'!$C$4:$C$166=$A28)*('Monthly Occurrences (Support)'!$D$4:$D$166="Physical")*('Monthly Occurrences (Support)'!$O$4:$O$166))</f>
        <v>25</v>
      </c>
      <c r="K28" s="4">
        <f>SUMPRODUCT(('Monthly Occurrences (Support)'!$C$4:$C$166=$A28)*('Monthly Occurrences (Support)'!$D$4:$D$166="Physical")*('Monthly Occurrences (Support)'!$P$4:$P$166))</f>
        <v>22</v>
      </c>
      <c r="L28" s="4">
        <f>SUMPRODUCT(('Monthly Occurrences (Support)'!$C$4:$C$166=$A28)*('Monthly Occurrences (Support)'!$D$4:$D$166="Physical")*('Monthly Occurrences (Support)'!$Q$4:$Q$166))</f>
        <v>12</v>
      </c>
      <c r="M28" s="4">
        <f>SUMPRODUCT(('Monthly Occurrences (Support)'!$C$4:$C$166=$A28)*('Monthly Occurrences (Support)'!$D$4:$D$166="Physical")*('Monthly Occurrences (Support)'!$R$4:$R$166))</f>
        <v>14</v>
      </c>
      <c r="N28" s="4">
        <f>SUMPRODUCT(('Monthly Occurrences (Support)'!$C$4:$C$166=$A28)*('Monthly Occurrences (Support)'!$D$4:$D$166="Physical")*('Monthly Occurrences (Support)'!$S$4:$S$166))</f>
        <v>7</v>
      </c>
      <c r="O28" s="4">
        <f>SUMPRODUCT(('Monthly Occurrences (Support)'!$C$4:$C$166=$A28)*('Monthly Occurrences (Support)'!$D$4:$D$166="Physical")*('Monthly Occurrences (Support)'!$T$4:$T$166))</f>
        <v>1</v>
      </c>
      <c r="P28" s="4">
        <f>SUMPRODUCT(('Monthly Occurrences (Support)'!$C$4:$C$166=$A28)*('Monthly Occurrences (Support)'!$D$4:$D$166="Physical")*('Monthly Occurrences (Support)'!$U$4:$U$166))</f>
        <v>0</v>
      </c>
      <c r="Q28" s="4">
        <f>SUMPRODUCT(('Monthly Occurrences (Support)'!$C$4:$C$166=$A28)*('Monthly Occurrences (Support)'!$D$4:$D$166="Physical")*('Monthly Occurrences (Support)'!$V$4:$V$166))</f>
        <v>0</v>
      </c>
      <c r="R28" s="4">
        <f>SUMPRODUCT(('Monthly Occurrences (Support)'!$C$4:$C$166=$A28)*('Monthly Occurrences (Support)'!$D$4:$D$166="Physical")*('Monthly Occurrences (Support)'!$W$4:$W$166))</f>
        <v>0</v>
      </c>
      <c r="S28" s="4">
        <f>SUMPRODUCT(('Monthly Occurrences (Support)'!$C$4:$C$166=$A28)*('Monthly Occurrences (Support)'!$D$4:$D$166="Physical")*('Monthly Occurrences (Support)'!$X$4:$X$166))</f>
        <v>0</v>
      </c>
      <c r="T28" s="4">
        <f>SUMPRODUCT(('Monthly Occurrences (Support)'!$C$4:$C$166=$A28)*('Monthly Occurrences (Support)'!$D$4:$D$166="Physical")*('Monthly Occurrences (Support)'!$Y$4:$Y$166))</f>
        <v>0</v>
      </c>
      <c r="U28" s="4">
        <f>SUMPRODUCT(('Monthly Occurrences (Support)'!$C$4:$C$166=$A28)*('Monthly Occurrences (Support)'!$D$4:$D$166="Physical")*('Monthly Occurrences (Support)'!$Z$4:$Z$166))</f>
        <v>0</v>
      </c>
      <c r="V28" s="4">
        <f>SUMPRODUCT(('Monthly Occurrences (Support)'!$C$4:$C$166=$A28)*('Monthly Occurrences (Support)'!$D$4:$D$166="Physical")*('Monthly Occurrences (Support)'!$AA$4:$AA$166))</f>
        <v>0</v>
      </c>
      <c r="W28" s="4">
        <f>SUMPRODUCT(('Monthly Occurrences (Support)'!$C$4:$C$166=$A28)*('Monthly Occurrences (Support)'!$D$4:$D$166="Physical")*('Monthly Occurrences (Support)'!$AB$4:$AB$166))</f>
        <v>0</v>
      </c>
    </row>
    <row r="29" spans="1:23" x14ac:dyDescent="0.25">
      <c r="A29" s="16" t="s">
        <v>57</v>
      </c>
      <c r="B29" s="7">
        <f>SUMPRODUCT(('Monthly Occurrences (Support)'!$C$4:$C$166=$A29)*('Monthly Occurrences (Support)'!$D$4:$D$166="Physical")*('Monthly Occurrences (Support)'!$G$4:$G$166))</f>
        <v>0</v>
      </c>
      <c r="C29" s="7">
        <f>SUMPRODUCT(('Monthly Occurrences (Support)'!$C$4:$C$166=$A29)*('Monthly Occurrences (Support)'!$D$4:$D$166="Physical")*('Monthly Occurrences (Support)'!$H$4:$H$166))</f>
        <v>0</v>
      </c>
      <c r="D29" s="7">
        <f>SUMPRODUCT(('Monthly Occurrences (Support)'!$C$4:$C$166=$A29)*('Monthly Occurrences (Support)'!$D$4:$D$166="Physical")*('Monthly Occurrences (Support)'!$I$4:$I$166))</f>
        <v>0</v>
      </c>
      <c r="E29" s="7">
        <f>SUMPRODUCT(('Monthly Occurrences (Support)'!$C$4:$C$166=$A29)*('Monthly Occurrences (Support)'!$D$4:$D$166="Physical")*('Monthly Occurrences (Support)'!$J$4:$J$166))</f>
        <v>0</v>
      </c>
      <c r="F29" s="7">
        <f>SUMPRODUCT(('Monthly Occurrences (Support)'!$C$4:$C$166=$A29)*('Monthly Occurrences (Support)'!$D$4:$D$166="Physical")*('Monthly Occurrences (Support)'!$K$4:$K$166))</f>
        <v>0</v>
      </c>
      <c r="G29" s="7">
        <f>SUMPRODUCT(('Monthly Occurrences (Support)'!$C$4:$C$166=$A29)*('Monthly Occurrences (Support)'!$D$4:$D$166="Physical")*('Monthly Occurrences (Support)'!$L$4:$L$166))</f>
        <v>0</v>
      </c>
      <c r="H29" s="7">
        <f>SUMPRODUCT(('Monthly Occurrences (Support)'!$C$4:$C$166=$A29)*('Monthly Occurrences (Support)'!$D$4:$D$166="Physical")*('Monthly Occurrences (Support)'!$M$4:$M$166))</f>
        <v>0</v>
      </c>
      <c r="I29" s="7">
        <f>SUMPRODUCT(('Monthly Occurrences (Support)'!$C$4:$C$166=$A29)*('Monthly Occurrences (Support)'!$D$4:$D$166="Physical")*('Monthly Occurrences (Support)'!$N$4:$N$166))</f>
        <v>0</v>
      </c>
      <c r="J29" s="7">
        <f>SUMPRODUCT(('Monthly Occurrences (Support)'!$C$4:$C$166=$A29)*('Monthly Occurrences (Support)'!$D$4:$D$166="Physical")*('Monthly Occurrences (Support)'!$O$4:$O$166))</f>
        <v>0</v>
      </c>
      <c r="K29" s="7">
        <f>SUMPRODUCT(('Monthly Occurrences (Support)'!$C$4:$C$166=$A29)*('Monthly Occurrences (Support)'!$D$4:$D$166="Physical")*('Monthly Occurrences (Support)'!$P$4:$P$166))</f>
        <v>0</v>
      </c>
      <c r="L29" s="7">
        <f>SUMPRODUCT(('Monthly Occurrences (Support)'!$C$4:$C$166=$A29)*('Monthly Occurrences (Support)'!$D$4:$D$166="Physical")*('Monthly Occurrences (Support)'!$Q$4:$Q$166))</f>
        <v>0</v>
      </c>
      <c r="M29" s="7">
        <f>SUMPRODUCT(('Monthly Occurrences (Support)'!$C$4:$C$166=$A29)*('Monthly Occurrences (Support)'!$D$4:$D$166="Physical")*('Monthly Occurrences (Support)'!$R$4:$R$166))</f>
        <v>0</v>
      </c>
      <c r="N29" s="7">
        <f>SUMPRODUCT(('Monthly Occurrences (Support)'!$C$4:$C$166=$A29)*('Monthly Occurrences (Support)'!$D$4:$D$166="Physical")*('Monthly Occurrences (Support)'!$S$4:$S$166))</f>
        <v>0</v>
      </c>
      <c r="O29" s="7">
        <f>SUMPRODUCT(('Monthly Occurrences (Support)'!$C$4:$C$166=$A29)*('Monthly Occurrences (Support)'!$D$4:$D$166="Physical")*('Monthly Occurrences (Support)'!$T$4:$T$166))</f>
        <v>0</v>
      </c>
      <c r="P29" s="7">
        <f>SUMPRODUCT(('Monthly Occurrences (Support)'!$C$4:$C$166=$A29)*('Monthly Occurrences (Support)'!$D$4:$D$166="Physical")*('Monthly Occurrences (Support)'!$U$4:$U$166))</f>
        <v>0</v>
      </c>
      <c r="Q29" s="7">
        <f>SUMPRODUCT(('Monthly Occurrences (Support)'!$C$4:$C$166=$A29)*('Monthly Occurrences (Support)'!$D$4:$D$166="Physical")*('Monthly Occurrences (Support)'!$V$4:$V$166))</f>
        <v>0</v>
      </c>
      <c r="R29" s="7">
        <f>SUMPRODUCT(('Monthly Occurrences (Support)'!$C$4:$C$166=$A29)*('Monthly Occurrences (Support)'!$D$4:$D$166="Physical")*('Monthly Occurrences (Support)'!$W$4:$W$166))</f>
        <v>0</v>
      </c>
      <c r="S29" s="7">
        <f>SUMPRODUCT(('Monthly Occurrences (Support)'!$C$4:$C$166=$A29)*('Monthly Occurrences (Support)'!$D$4:$D$166="Physical")*('Monthly Occurrences (Support)'!$X$4:$X$166))</f>
        <v>0</v>
      </c>
      <c r="T29" s="7">
        <f>SUMPRODUCT(('Monthly Occurrences (Support)'!$C$4:$C$166=$A29)*('Monthly Occurrences (Support)'!$D$4:$D$166="Physical")*('Monthly Occurrences (Support)'!$Y$4:$Y$166))</f>
        <v>0</v>
      </c>
      <c r="U29" s="7">
        <f>SUMPRODUCT(('Monthly Occurrences (Support)'!$C$4:$C$166=$A29)*('Monthly Occurrences (Support)'!$D$4:$D$166="Physical")*('Monthly Occurrences (Support)'!$Z$4:$Z$166))</f>
        <v>0</v>
      </c>
      <c r="V29" s="7">
        <f>SUMPRODUCT(('Monthly Occurrences (Support)'!$C$4:$C$166=$A29)*('Monthly Occurrences (Support)'!$D$4:$D$166="Physical")*('Monthly Occurrences (Support)'!$AA$4:$AA$166))</f>
        <v>0</v>
      </c>
      <c r="W29" s="7">
        <f>SUMPRODUCT(('Monthly Occurrences (Support)'!$C$4:$C$166=$A29)*('Monthly Occurrences (Support)'!$D$4:$D$166="Physical")*('Monthly Occurrences (Support)'!$AB$4:$AB$166))</f>
        <v>0</v>
      </c>
    </row>
    <row r="30" spans="1:23" x14ac:dyDescent="0.25">
      <c r="A30" s="15" t="s">
        <v>58</v>
      </c>
      <c r="B30" s="4">
        <f>SUMPRODUCT(('Monthly Occurrences (Support)'!$C$4:$C$166=$A30)*('Monthly Occurrences (Support)'!$D$4:$D$166="Physical")*('Monthly Occurrences (Support)'!$G$4:$G$166))</f>
        <v>0</v>
      </c>
      <c r="C30" s="4">
        <f>SUMPRODUCT(('Monthly Occurrences (Support)'!$C$4:$C$166=$A30)*('Monthly Occurrences (Support)'!$D$4:$D$166="Physical")*('Monthly Occurrences (Support)'!$H$4:$H$166))</f>
        <v>0</v>
      </c>
      <c r="D30" s="4">
        <f>SUMPRODUCT(('Monthly Occurrences (Support)'!$C$4:$C$166=$A30)*('Monthly Occurrences (Support)'!$D$4:$D$166="Physical")*('Monthly Occurrences (Support)'!$I$4:$I$166))</f>
        <v>0</v>
      </c>
      <c r="E30" s="4">
        <f>SUMPRODUCT(('Monthly Occurrences (Support)'!$C$4:$C$166=$A30)*('Monthly Occurrences (Support)'!$D$4:$D$166="Physical")*('Monthly Occurrences (Support)'!$J$4:$J$166))</f>
        <v>0</v>
      </c>
      <c r="F30" s="4">
        <f>SUMPRODUCT(('Monthly Occurrences (Support)'!$C$4:$C$166=$A30)*('Monthly Occurrences (Support)'!$D$4:$D$166="Physical")*('Monthly Occurrences (Support)'!$K$4:$K$166))</f>
        <v>0</v>
      </c>
      <c r="G30" s="4">
        <f>SUMPRODUCT(('Monthly Occurrences (Support)'!$C$4:$C$166=$A30)*('Monthly Occurrences (Support)'!$D$4:$D$166="Physical")*('Monthly Occurrences (Support)'!$L$4:$L$166))</f>
        <v>7</v>
      </c>
      <c r="H30" s="4">
        <f>SUMPRODUCT(('Monthly Occurrences (Support)'!$C$4:$C$166=$A30)*('Monthly Occurrences (Support)'!$D$4:$D$166="Physical")*('Monthly Occurrences (Support)'!$M$4:$M$166))</f>
        <v>10</v>
      </c>
      <c r="I30" s="4">
        <f>SUMPRODUCT(('Monthly Occurrences (Support)'!$C$4:$C$166=$A30)*('Monthly Occurrences (Support)'!$D$4:$D$166="Physical")*('Monthly Occurrences (Support)'!$N$4:$N$166))</f>
        <v>8</v>
      </c>
      <c r="J30" s="4">
        <f>SUMPRODUCT(('Monthly Occurrences (Support)'!$C$4:$C$166=$A30)*('Monthly Occurrences (Support)'!$D$4:$D$166="Physical")*('Monthly Occurrences (Support)'!$O$4:$O$166))</f>
        <v>8</v>
      </c>
      <c r="K30" s="4">
        <f>SUMPRODUCT(('Monthly Occurrences (Support)'!$C$4:$C$166=$A30)*('Monthly Occurrences (Support)'!$D$4:$D$166="Physical")*('Monthly Occurrences (Support)'!$P$4:$P$166))</f>
        <v>10</v>
      </c>
      <c r="L30" s="4">
        <f>SUMPRODUCT(('Monthly Occurrences (Support)'!$C$4:$C$166=$A30)*('Monthly Occurrences (Support)'!$D$4:$D$166="Physical")*('Monthly Occurrences (Support)'!$Q$4:$Q$166))</f>
        <v>7</v>
      </c>
      <c r="M30" s="4">
        <f>SUMPRODUCT(('Monthly Occurrences (Support)'!$C$4:$C$166=$A30)*('Monthly Occurrences (Support)'!$D$4:$D$166="Physical")*('Monthly Occurrences (Support)'!$R$4:$R$166))</f>
        <v>4</v>
      </c>
      <c r="N30" s="4">
        <f>SUMPRODUCT(('Monthly Occurrences (Support)'!$C$4:$C$166=$A30)*('Monthly Occurrences (Support)'!$D$4:$D$166="Physical")*('Monthly Occurrences (Support)'!$S$4:$S$166))</f>
        <v>0</v>
      </c>
      <c r="O30" s="4">
        <f>SUMPRODUCT(('Monthly Occurrences (Support)'!$C$4:$C$166=$A30)*('Monthly Occurrences (Support)'!$D$4:$D$166="Physical")*('Monthly Occurrences (Support)'!$T$4:$T$166))</f>
        <v>0</v>
      </c>
      <c r="P30" s="4">
        <f>SUMPRODUCT(('Monthly Occurrences (Support)'!$C$4:$C$166=$A30)*('Monthly Occurrences (Support)'!$D$4:$D$166="Physical")*('Monthly Occurrences (Support)'!$U$4:$U$166))</f>
        <v>0</v>
      </c>
      <c r="Q30" s="4">
        <f>SUMPRODUCT(('Monthly Occurrences (Support)'!$C$4:$C$166=$A30)*('Monthly Occurrences (Support)'!$D$4:$D$166="Physical")*('Monthly Occurrences (Support)'!$V$4:$V$166))</f>
        <v>0</v>
      </c>
      <c r="R30" s="4">
        <f>SUMPRODUCT(('Monthly Occurrences (Support)'!$C$4:$C$166=$A30)*('Monthly Occurrences (Support)'!$D$4:$D$166="Physical")*('Monthly Occurrences (Support)'!$W$4:$W$166))</f>
        <v>0</v>
      </c>
      <c r="S30" s="4">
        <f>SUMPRODUCT(('Monthly Occurrences (Support)'!$C$4:$C$166=$A30)*('Monthly Occurrences (Support)'!$D$4:$D$166="Physical")*('Monthly Occurrences (Support)'!$X$4:$X$166))</f>
        <v>0</v>
      </c>
      <c r="T30" s="4">
        <f>SUMPRODUCT(('Monthly Occurrences (Support)'!$C$4:$C$166=$A30)*('Monthly Occurrences (Support)'!$D$4:$D$166="Physical")*('Monthly Occurrences (Support)'!$Y$4:$Y$166))</f>
        <v>0</v>
      </c>
      <c r="U30" s="4">
        <f>SUMPRODUCT(('Monthly Occurrences (Support)'!$C$4:$C$166=$A30)*('Monthly Occurrences (Support)'!$D$4:$D$166="Physical")*('Monthly Occurrences (Support)'!$Z$4:$Z$166))</f>
        <v>0</v>
      </c>
      <c r="V30" s="4">
        <f>SUMPRODUCT(('Monthly Occurrences (Support)'!$C$4:$C$166=$A30)*('Monthly Occurrences (Support)'!$D$4:$D$166="Physical")*('Monthly Occurrences (Support)'!$AA$4:$AA$166))</f>
        <v>0</v>
      </c>
      <c r="W30" s="4">
        <f>SUMPRODUCT(('Monthly Occurrences (Support)'!$C$4:$C$166=$A30)*('Monthly Occurrences (Support)'!$D$4:$D$166="Physical")*('Monthly Occurrences (Support)'!$AB$4:$AB$166))</f>
        <v>0</v>
      </c>
    </row>
    <row r="31" spans="1:23" x14ac:dyDescent="0.25">
      <c r="A31" s="16" t="s">
        <v>59</v>
      </c>
      <c r="B31" s="7">
        <f>SUMPRODUCT(('Monthly Occurrences (Support)'!$C$4:$C$166=$A31)*('Monthly Occurrences (Support)'!$D$4:$D$166="Physical")*('Monthly Occurrences (Support)'!$G$4:$G$166))</f>
        <v>0</v>
      </c>
      <c r="C31" s="7">
        <f>SUMPRODUCT(('Monthly Occurrences (Support)'!$C$4:$C$166=$A31)*('Monthly Occurrences (Support)'!$D$4:$D$166="Physical")*('Monthly Occurrences (Support)'!$H$4:$H$166))</f>
        <v>0</v>
      </c>
      <c r="D31" s="7">
        <f>SUMPRODUCT(('Monthly Occurrences (Support)'!$C$4:$C$166=$A31)*('Monthly Occurrences (Support)'!$D$4:$D$166="Physical")*('Monthly Occurrences (Support)'!$I$4:$I$166))</f>
        <v>0</v>
      </c>
      <c r="E31" s="7">
        <f>SUMPRODUCT(('Monthly Occurrences (Support)'!$C$4:$C$166=$A31)*('Monthly Occurrences (Support)'!$D$4:$D$166="Physical")*('Monthly Occurrences (Support)'!$J$4:$J$166))</f>
        <v>0</v>
      </c>
      <c r="F31" s="7">
        <f>SUMPRODUCT(('Monthly Occurrences (Support)'!$C$4:$C$166=$A31)*('Monthly Occurrences (Support)'!$D$4:$D$166="Physical")*('Monthly Occurrences (Support)'!$K$4:$K$166))</f>
        <v>0</v>
      </c>
      <c r="G31" s="7">
        <f>SUMPRODUCT(('Monthly Occurrences (Support)'!$C$4:$C$166=$A31)*('Monthly Occurrences (Support)'!$D$4:$D$166="Physical")*('Monthly Occurrences (Support)'!$L$4:$L$166))</f>
        <v>0</v>
      </c>
      <c r="H31" s="7">
        <f>SUMPRODUCT(('Monthly Occurrences (Support)'!$C$4:$C$166=$A31)*('Monthly Occurrences (Support)'!$D$4:$D$166="Physical")*('Monthly Occurrences (Support)'!$M$4:$M$166))</f>
        <v>0</v>
      </c>
      <c r="I31" s="7">
        <f>SUMPRODUCT(('Monthly Occurrences (Support)'!$C$4:$C$166=$A31)*('Monthly Occurrences (Support)'!$D$4:$D$166="Physical")*('Monthly Occurrences (Support)'!$N$4:$N$166))</f>
        <v>0</v>
      </c>
      <c r="J31" s="7">
        <f>SUMPRODUCT(('Monthly Occurrences (Support)'!$C$4:$C$166=$A31)*('Monthly Occurrences (Support)'!$D$4:$D$166="Physical")*('Monthly Occurrences (Support)'!$O$4:$O$166))</f>
        <v>0</v>
      </c>
      <c r="K31" s="7">
        <f>SUMPRODUCT(('Monthly Occurrences (Support)'!$C$4:$C$166=$A31)*('Monthly Occurrences (Support)'!$D$4:$D$166="Physical")*('Monthly Occurrences (Support)'!$P$4:$P$166))</f>
        <v>0</v>
      </c>
      <c r="L31" s="7">
        <f>SUMPRODUCT(('Monthly Occurrences (Support)'!$C$4:$C$166=$A31)*('Monthly Occurrences (Support)'!$D$4:$D$166="Physical")*('Monthly Occurrences (Support)'!$Q$4:$Q$166))</f>
        <v>0</v>
      </c>
      <c r="M31" s="7">
        <f>SUMPRODUCT(('Monthly Occurrences (Support)'!$C$4:$C$166=$A31)*('Monthly Occurrences (Support)'!$D$4:$D$166="Physical")*('Monthly Occurrences (Support)'!$R$4:$R$166))</f>
        <v>0</v>
      </c>
      <c r="N31" s="7">
        <f>SUMPRODUCT(('Monthly Occurrences (Support)'!$C$4:$C$166=$A31)*('Monthly Occurrences (Support)'!$D$4:$D$166="Physical")*('Monthly Occurrences (Support)'!$S$4:$S$166))</f>
        <v>0</v>
      </c>
      <c r="O31" s="7">
        <f>SUMPRODUCT(('Monthly Occurrences (Support)'!$C$4:$C$166=$A31)*('Monthly Occurrences (Support)'!$D$4:$D$166="Physical")*('Monthly Occurrences (Support)'!$T$4:$T$166))</f>
        <v>0</v>
      </c>
      <c r="P31" s="7">
        <f>SUMPRODUCT(('Monthly Occurrences (Support)'!$C$4:$C$166=$A31)*('Monthly Occurrences (Support)'!$D$4:$D$166="Physical")*('Monthly Occurrences (Support)'!$U$4:$U$166))</f>
        <v>0</v>
      </c>
      <c r="Q31" s="7">
        <f>SUMPRODUCT(('Monthly Occurrences (Support)'!$C$4:$C$166=$A31)*('Monthly Occurrences (Support)'!$D$4:$D$166="Physical")*('Monthly Occurrences (Support)'!$V$4:$V$166))</f>
        <v>0</v>
      </c>
      <c r="R31" s="7">
        <f>SUMPRODUCT(('Monthly Occurrences (Support)'!$C$4:$C$166=$A31)*('Monthly Occurrences (Support)'!$D$4:$D$166="Physical")*('Monthly Occurrences (Support)'!$W$4:$W$166))</f>
        <v>0</v>
      </c>
      <c r="S31" s="7">
        <f>SUMPRODUCT(('Monthly Occurrences (Support)'!$C$4:$C$166=$A31)*('Monthly Occurrences (Support)'!$D$4:$D$166="Physical")*('Monthly Occurrences (Support)'!$X$4:$X$166))</f>
        <v>0</v>
      </c>
      <c r="T31" s="7">
        <f>SUMPRODUCT(('Monthly Occurrences (Support)'!$C$4:$C$166=$A31)*('Monthly Occurrences (Support)'!$D$4:$D$166="Physical")*('Monthly Occurrences (Support)'!$Y$4:$Y$166))</f>
        <v>0</v>
      </c>
      <c r="U31" s="7">
        <f>SUMPRODUCT(('Monthly Occurrences (Support)'!$C$4:$C$166=$A31)*('Monthly Occurrences (Support)'!$D$4:$D$166="Physical")*('Monthly Occurrences (Support)'!$Z$4:$Z$166))</f>
        <v>0</v>
      </c>
      <c r="V31" s="7">
        <f>SUMPRODUCT(('Monthly Occurrences (Support)'!$C$4:$C$166=$A31)*('Monthly Occurrences (Support)'!$D$4:$D$166="Physical")*('Monthly Occurrences (Support)'!$AA$4:$AA$166))</f>
        <v>0</v>
      </c>
      <c r="W31" s="7">
        <f>SUMPRODUCT(('Monthly Occurrences (Support)'!$C$4:$C$166=$A31)*('Monthly Occurrences (Support)'!$D$4:$D$166="Physical")*('Monthly Occurrences (Support)'!$AB$4:$AB$166))</f>
        <v>0</v>
      </c>
    </row>
    <row r="32" spans="1:23" x14ac:dyDescent="0.25">
      <c r="A32" s="17" t="s">
        <v>60</v>
      </c>
      <c r="B32" s="5">
        <f t="shared" ref="B32:W32" si="0">COUNTIF(B6:B31,"&gt;0")</f>
        <v>1</v>
      </c>
      <c r="C32" s="5">
        <f t="shared" si="0"/>
        <v>1</v>
      </c>
      <c r="D32" s="5">
        <f t="shared" si="0"/>
        <v>1</v>
      </c>
      <c r="E32" s="5">
        <f t="shared" si="0"/>
        <v>1</v>
      </c>
      <c r="F32" s="5">
        <f t="shared" si="0"/>
        <v>11</v>
      </c>
      <c r="G32" s="5">
        <f t="shared" si="0"/>
        <v>15</v>
      </c>
      <c r="H32" s="5">
        <f t="shared" si="0"/>
        <v>16</v>
      </c>
      <c r="I32" s="5">
        <f t="shared" si="0"/>
        <v>17</v>
      </c>
      <c r="J32" s="5">
        <f t="shared" si="0"/>
        <v>20</v>
      </c>
      <c r="K32" s="5">
        <f t="shared" si="0"/>
        <v>19</v>
      </c>
      <c r="L32" s="5">
        <f t="shared" si="0"/>
        <v>19</v>
      </c>
      <c r="M32" s="5">
        <f t="shared" si="0"/>
        <v>19</v>
      </c>
      <c r="N32" s="5">
        <f t="shared" si="0"/>
        <v>18</v>
      </c>
      <c r="O32" s="5">
        <f t="shared" si="0"/>
        <v>14</v>
      </c>
      <c r="P32" s="5">
        <f t="shared" si="0"/>
        <v>3</v>
      </c>
      <c r="Q32" s="5">
        <f t="shared" si="0"/>
        <v>2</v>
      </c>
      <c r="R32" s="5">
        <f t="shared" si="0"/>
        <v>2</v>
      </c>
      <c r="S32" s="5">
        <f t="shared" si="0"/>
        <v>2</v>
      </c>
      <c r="T32" s="5">
        <f t="shared" si="0"/>
        <v>2</v>
      </c>
      <c r="U32" s="5">
        <f t="shared" si="0"/>
        <v>2</v>
      </c>
      <c r="V32" s="5">
        <f t="shared" si="0"/>
        <v>2</v>
      </c>
      <c r="W32" s="5">
        <f t="shared" si="0"/>
        <v>2</v>
      </c>
    </row>
    <row r="33" spans="1:23" x14ac:dyDescent="0.25">
      <c r="A33" s="18" t="s">
        <v>61</v>
      </c>
      <c r="B33" s="19">
        <f t="shared" ref="B33:W33" si="1">26-B32</f>
        <v>25</v>
      </c>
      <c r="C33" s="19">
        <f t="shared" si="1"/>
        <v>25</v>
      </c>
      <c r="D33" s="19">
        <f t="shared" si="1"/>
        <v>25</v>
      </c>
      <c r="E33" s="19">
        <f t="shared" si="1"/>
        <v>25</v>
      </c>
      <c r="F33" s="19">
        <f t="shared" si="1"/>
        <v>15</v>
      </c>
      <c r="G33" s="19">
        <f t="shared" si="1"/>
        <v>11</v>
      </c>
      <c r="H33" s="19">
        <f t="shared" si="1"/>
        <v>10</v>
      </c>
      <c r="I33" s="19">
        <f t="shared" si="1"/>
        <v>9</v>
      </c>
      <c r="J33" s="19">
        <f t="shared" si="1"/>
        <v>6</v>
      </c>
      <c r="K33" s="19">
        <f t="shared" si="1"/>
        <v>7</v>
      </c>
      <c r="L33" s="19">
        <f t="shared" si="1"/>
        <v>7</v>
      </c>
      <c r="M33" s="19">
        <f t="shared" si="1"/>
        <v>7</v>
      </c>
      <c r="N33" s="19">
        <f t="shared" si="1"/>
        <v>8</v>
      </c>
      <c r="O33" s="19">
        <f t="shared" si="1"/>
        <v>12</v>
      </c>
      <c r="P33" s="19">
        <f t="shared" si="1"/>
        <v>23</v>
      </c>
      <c r="Q33" s="19">
        <f t="shared" si="1"/>
        <v>24</v>
      </c>
      <c r="R33" s="19">
        <f t="shared" si="1"/>
        <v>24</v>
      </c>
      <c r="S33" s="19">
        <f t="shared" si="1"/>
        <v>24</v>
      </c>
      <c r="T33" s="19">
        <f t="shared" si="1"/>
        <v>24</v>
      </c>
      <c r="U33" s="19">
        <f t="shared" si="1"/>
        <v>24</v>
      </c>
      <c r="V33" s="19">
        <f t="shared" si="1"/>
        <v>24</v>
      </c>
      <c r="W33" s="19">
        <f t="shared" si="1"/>
        <v>24</v>
      </c>
    </row>
    <row r="35" spans="1:23" x14ac:dyDescent="0.25">
      <c r="A35" s="61" t="s">
        <v>62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</row>
    <row r="36" spans="1:23" ht="15.75" customHeight="1" x14ac:dyDescent="0.25">
      <c r="A36" s="13" t="s">
        <v>33</v>
      </c>
      <c r="B36" s="14">
        <v>45962</v>
      </c>
      <c r="C36" s="14">
        <v>45992</v>
      </c>
      <c r="D36" s="14">
        <v>46023</v>
      </c>
      <c r="E36" s="14">
        <v>46054</v>
      </c>
      <c r="F36" s="14">
        <v>46082</v>
      </c>
      <c r="G36" s="14">
        <v>46113</v>
      </c>
      <c r="H36" s="14">
        <v>46143</v>
      </c>
      <c r="I36" s="14">
        <v>46174</v>
      </c>
      <c r="J36" s="14">
        <v>46204</v>
      </c>
      <c r="K36" s="14">
        <v>46235</v>
      </c>
      <c r="L36" s="14">
        <v>46266</v>
      </c>
      <c r="M36" s="14">
        <v>46296</v>
      </c>
      <c r="N36" s="14">
        <v>46327</v>
      </c>
      <c r="O36" s="14">
        <v>46357</v>
      </c>
      <c r="P36" s="14">
        <v>46388</v>
      </c>
      <c r="Q36" s="14">
        <v>46419</v>
      </c>
      <c r="R36" s="14">
        <v>46447</v>
      </c>
      <c r="S36" s="14">
        <v>46478</v>
      </c>
      <c r="T36" s="14">
        <v>46508</v>
      </c>
      <c r="U36" s="14">
        <v>46539</v>
      </c>
      <c r="V36" s="14">
        <v>46569</v>
      </c>
      <c r="W36" s="14">
        <v>46600</v>
      </c>
    </row>
    <row r="37" spans="1:23" x14ac:dyDescent="0.25">
      <c r="A37" s="15" t="s">
        <v>34</v>
      </c>
      <c r="B37" s="4">
        <f>SUMPRODUCT(('Monthly Occurrences (Support)'!$C$4:$C$166=$A37)*('Monthly Occurrences (Support)'!$D$4:$D$166="Hybrid")*('Monthly Occurrences (Support)'!$G$4:$G$166))</f>
        <v>0</v>
      </c>
      <c r="C37" s="4">
        <f>SUMPRODUCT(('Monthly Occurrences (Support)'!$C$4:$C$166=$A37)*('Monthly Occurrences (Support)'!$D$4:$D$166="Hybrid")*('Monthly Occurrences (Support)'!$H$4:$H$166))</f>
        <v>0</v>
      </c>
      <c r="D37" s="4">
        <f>SUMPRODUCT(('Monthly Occurrences (Support)'!$C$4:$C$166=$A37)*('Monthly Occurrences (Support)'!$D$4:$D$166="Hybrid")*('Monthly Occurrences (Support)'!$I$4:$I$166))</f>
        <v>0</v>
      </c>
      <c r="E37" s="4">
        <f>SUMPRODUCT(('Monthly Occurrences (Support)'!$C$4:$C$166=$A37)*('Monthly Occurrences (Support)'!$D$4:$D$166="Hybrid")*('Monthly Occurrences (Support)'!$J$4:$J$166))</f>
        <v>0</v>
      </c>
      <c r="F37" s="4">
        <f>SUMPRODUCT(('Monthly Occurrences (Support)'!$C$4:$C$166=$A37)*('Monthly Occurrences (Support)'!$D$4:$D$166="Hybrid")*('Monthly Occurrences (Support)'!$K$4:$K$166))</f>
        <v>0</v>
      </c>
      <c r="G37" s="4">
        <f>SUMPRODUCT(('Monthly Occurrences (Support)'!$C$4:$C$166=$A37)*('Monthly Occurrences (Support)'!$D$4:$D$166="Hybrid")*('Monthly Occurrences (Support)'!$L$4:$L$166))</f>
        <v>4</v>
      </c>
      <c r="H37" s="4">
        <f>SUMPRODUCT(('Monthly Occurrences (Support)'!$C$4:$C$166=$A37)*('Monthly Occurrences (Support)'!$D$4:$D$166="Hybrid")*('Monthly Occurrences (Support)'!$M$4:$M$166))</f>
        <v>5</v>
      </c>
      <c r="I37" s="4">
        <f>SUMPRODUCT(('Monthly Occurrences (Support)'!$C$4:$C$166=$A37)*('Monthly Occurrences (Support)'!$D$4:$D$166="Hybrid")*('Monthly Occurrences (Support)'!$N$4:$N$166))</f>
        <v>4</v>
      </c>
      <c r="J37" s="4">
        <f>SUMPRODUCT(('Monthly Occurrences (Support)'!$C$4:$C$166=$A37)*('Monthly Occurrences (Support)'!$D$4:$D$166="Hybrid")*('Monthly Occurrences (Support)'!$O$4:$O$166))</f>
        <v>4</v>
      </c>
      <c r="K37" s="4">
        <f>SUMPRODUCT(('Monthly Occurrences (Support)'!$C$4:$C$166=$A37)*('Monthly Occurrences (Support)'!$D$4:$D$166="Hybrid")*('Monthly Occurrences (Support)'!$P$4:$P$166))</f>
        <v>5</v>
      </c>
      <c r="L37" s="4">
        <f>SUMPRODUCT(('Monthly Occurrences (Support)'!$C$4:$C$166=$A37)*('Monthly Occurrences (Support)'!$D$4:$D$166="Hybrid")*('Monthly Occurrences (Support)'!$Q$4:$Q$166))</f>
        <v>3</v>
      </c>
      <c r="M37" s="4">
        <f>SUMPRODUCT(('Monthly Occurrences (Support)'!$C$4:$C$166=$A37)*('Monthly Occurrences (Support)'!$D$4:$D$166="Hybrid")*('Monthly Occurrences (Support)'!$R$4:$R$166))</f>
        <v>0</v>
      </c>
      <c r="N37" s="4">
        <f>SUMPRODUCT(('Monthly Occurrences (Support)'!$C$4:$C$166=$A37)*('Monthly Occurrences (Support)'!$D$4:$D$166="Hybrid")*('Monthly Occurrences (Support)'!$S$4:$S$166))</f>
        <v>0</v>
      </c>
      <c r="O37" s="4">
        <f>SUMPRODUCT(('Monthly Occurrences (Support)'!$C$4:$C$166=$A37)*('Monthly Occurrences (Support)'!$D$4:$D$166="Hybrid")*('Monthly Occurrences (Support)'!$T$4:$T$166))</f>
        <v>0</v>
      </c>
      <c r="P37" s="4">
        <f>SUMPRODUCT(('Monthly Occurrences (Support)'!$C$4:$C$166=$A37)*('Monthly Occurrences (Support)'!$D$4:$D$166="Hybrid")*('Monthly Occurrences (Support)'!$U$4:$U$166))</f>
        <v>0</v>
      </c>
      <c r="Q37" s="4">
        <f>SUMPRODUCT(('Monthly Occurrences (Support)'!$C$4:$C$166=$A37)*('Monthly Occurrences (Support)'!$D$4:$D$166="Hybrid")*('Monthly Occurrences (Support)'!$V$4:$V$166))</f>
        <v>0</v>
      </c>
      <c r="R37" s="4">
        <f>SUMPRODUCT(('Monthly Occurrences (Support)'!$C$4:$C$166=$A37)*('Monthly Occurrences (Support)'!$D$4:$D$166="Hybrid")*('Monthly Occurrences (Support)'!$W$4:$W$166))</f>
        <v>0</v>
      </c>
      <c r="S37" s="4">
        <f>SUMPRODUCT(('Monthly Occurrences (Support)'!$C$4:$C$166=$A37)*('Monthly Occurrences (Support)'!$D$4:$D$166="Hybrid")*('Monthly Occurrences (Support)'!$X$4:$X$166))</f>
        <v>0</v>
      </c>
      <c r="T37" s="4">
        <f>SUMPRODUCT(('Monthly Occurrences (Support)'!$C$4:$C$166=$A37)*('Monthly Occurrences (Support)'!$D$4:$D$166="Hybrid")*('Monthly Occurrences (Support)'!$Y$4:$Y$166))</f>
        <v>0</v>
      </c>
      <c r="U37" s="4">
        <f>SUMPRODUCT(('Monthly Occurrences (Support)'!$C$4:$C$166=$A37)*('Monthly Occurrences (Support)'!$D$4:$D$166="Hybrid")*('Monthly Occurrences (Support)'!$Z$4:$Z$166))</f>
        <v>0</v>
      </c>
      <c r="V37" s="4">
        <f>SUMPRODUCT(('Monthly Occurrences (Support)'!$C$4:$C$166=$A37)*('Monthly Occurrences (Support)'!$D$4:$D$166="Hybrid")*('Monthly Occurrences (Support)'!$AA$4:$AA$166))</f>
        <v>0</v>
      </c>
      <c r="W37" s="4">
        <f>SUMPRODUCT(('Monthly Occurrences (Support)'!$C$4:$C$166=$A37)*('Monthly Occurrences (Support)'!$D$4:$D$166="Hybrid")*('Monthly Occurrences (Support)'!$AB$4:$AB$166))</f>
        <v>0</v>
      </c>
    </row>
    <row r="38" spans="1:23" x14ac:dyDescent="0.25">
      <c r="A38" s="16" t="s">
        <v>35</v>
      </c>
      <c r="B38" s="7">
        <f>SUMPRODUCT(('Monthly Occurrences (Support)'!$C$4:$C$166=$A38)*('Monthly Occurrences (Support)'!$D$4:$D$166="Hybrid")*('Monthly Occurrences (Support)'!$G$4:$G$166))</f>
        <v>0</v>
      </c>
      <c r="C38" s="7">
        <f>SUMPRODUCT(('Monthly Occurrences (Support)'!$C$4:$C$166=$A38)*('Monthly Occurrences (Support)'!$D$4:$D$166="Hybrid")*('Monthly Occurrences (Support)'!$H$4:$H$166))</f>
        <v>0</v>
      </c>
      <c r="D38" s="7">
        <f>SUMPRODUCT(('Monthly Occurrences (Support)'!$C$4:$C$166=$A38)*('Monthly Occurrences (Support)'!$D$4:$D$166="Hybrid")*('Monthly Occurrences (Support)'!$I$4:$I$166))</f>
        <v>0</v>
      </c>
      <c r="E38" s="7">
        <f>SUMPRODUCT(('Monthly Occurrences (Support)'!$C$4:$C$166=$A38)*('Monthly Occurrences (Support)'!$D$4:$D$166="Hybrid")*('Monthly Occurrences (Support)'!$J$4:$J$166))</f>
        <v>0</v>
      </c>
      <c r="F38" s="7">
        <f>SUMPRODUCT(('Monthly Occurrences (Support)'!$C$4:$C$166=$A38)*('Monthly Occurrences (Support)'!$D$4:$D$166="Hybrid")*('Monthly Occurrences (Support)'!$K$4:$K$166))</f>
        <v>0</v>
      </c>
      <c r="G38" s="7">
        <f>SUMPRODUCT(('Monthly Occurrences (Support)'!$C$4:$C$166=$A38)*('Monthly Occurrences (Support)'!$D$4:$D$166="Hybrid")*('Monthly Occurrences (Support)'!$L$4:$L$166))</f>
        <v>0</v>
      </c>
      <c r="H38" s="7">
        <f>SUMPRODUCT(('Monthly Occurrences (Support)'!$C$4:$C$166=$A38)*('Monthly Occurrences (Support)'!$D$4:$D$166="Hybrid")*('Monthly Occurrences (Support)'!$M$4:$M$166))</f>
        <v>3</v>
      </c>
      <c r="I38" s="7">
        <f>SUMPRODUCT(('Monthly Occurrences (Support)'!$C$4:$C$166=$A38)*('Monthly Occurrences (Support)'!$D$4:$D$166="Hybrid")*('Monthly Occurrences (Support)'!$N$4:$N$166))</f>
        <v>5</v>
      </c>
      <c r="J38" s="7">
        <f>SUMPRODUCT(('Monthly Occurrences (Support)'!$C$4:$C$166=$A38)*('Monthly Occurrences (Support)'!$D$4:$D$166="Hybrid")*('Monthly Occurrences (Support)'!$O$4:$O$166))</f>
        <v>4</v>
      </c>
      <c r="K38" s="7">
        <f>SUMPRODUCT(('Monthly Occurrences (Support)'!$C$4:$C$166=$A38)*('Monthly Occurrences (Support)'!$D$4:$D$166="Hybrid")*('Monthly Occurrences (Support)'!$P$4:$P$166))</f>
        <v>2</v>
      </c>
      <c r="L38" s="7">
        <f>SUMPRODUCT(('Monthly Occurrences (Support)'!$C$4:$C$166=$A38)*('Monthly Occurrences (Support)'!$D$4:$D$166="Hybrid")*('Monthly Occurrences (Support)'!$Q$4:$Q$166))</f>
        <v>0</v>
      </c>
      <c r="M38" s="7">
        <f>SUMPRODUCT(('Monthly Occurrences (Support)'!$C$4:$C$166=$A38)*('Monthly Occurrences (Support)'!$D$4:$D$166="Hybrid")*('Monthly Occurrences (Support)'!$R$4:$R$166))</f>
        <v>0</v>
      </c>
      <c r="N38" s="7">
        <f>SUMPRODUCT(('Monthly Occurrences (Support)'!$C$4:$C$166=$A38)*('Monthly Occurrences (Support)'!$D$4:$D$166="Hybrid")*('Monthly Occurrences (Support)'!$S$4:$S$166))</f>
        <v>0</v>
      </c>
      <c r="O38" s="7">
        <f>SUMPRODUCT(('Monthly Occurrences (Support)'!$C$4:$C$166=$A38)*('Monthly Occurrences (Support)'!$D$4:$D$166="Hybrid")*('Monthly Occurrences (Support)'!$T$4:$T$166))</f>
        <v>0</v>
      </c>
      <c r="P38" s="7">
        <f>SUMPRODUCT(('Monthly Occurrences (Support)'!$C$4:$C$166=$A38)*('Monthly Occurrences (Support)'!$D$4:$D$166="Hybrid")*('Monthly Occurrences (Support)'!$U$4:$U$166))</f>
        <v>0</v>
      </c>
      <c r="Q38" s="7">
        <f>SUMPRODUCT(('Monthly Occurrences (Support)'!$C$4:$C$166=$A38)*('Monthly Occurrences (Support)'!$D$4:$D$166="Hybrid")*('Monthly Occurrences (Support)'!$V$4:$V$166))</f>
        <v>0</v>
      </c>
      <c r="R38" s="7">
        <f>SUMPRODUCT(('Monthly Occurrences (Support)'!$C$4:$C$166=$A38)*('Monthly Occurrences (Support)'!$D$4:$D$166="Hybrid")*('Monthly Occurrences (Support)'!$W$4:$W$166))</f>
        <v>0</v>
      </c>
      <c r="S38" s="7">
        <f>SUMPRODUCT(('Monthly Occurrences (Support)'!$C$4:$C$166=$A38)*('Monthly Occurrences (Support)'!$D$4:$D$166="Hybrid")*('Monthly Occurrences (Support)'!$X$4:$X$166))</f>
        <v>0</v>
      </c>
      <c r="T38" s="7">
        <f>SUMPRODUCT(('Monthly Occurrences (Support)'!$C$4:$C$166=$A38)*('Monthly Occurrences (Support)'!$D$4:$D$166="Hybrid")*('Monthly Occurrences (Support)'!$Y$4:$Y$166))</f>
        <v>0</v>
      </c>
      <c r="U38" s="7">
        <f>SUMPRODUCT(('Monthly Occurrences (Support)'!$C$4:$C$166=$A38)*('Monthly Occurrences (Support)'!$D$4:$D$166="Hybrid")*('Monthly Occurrences (Support)'!$Z$4:$Z$166))</f>
        <v>0</v>
      </c>
      <c r="V38" s="7">
        <f>SUMPRODUCT(('Monthly Occurrences (Support)'!$C$4:$C$166=$A38)*('Monthly Occurrences (Support)'!$D$4:$D$166="Hybrid")*('Monthly Occurrences (Support)'!$AA$4:$AA$166))</f>
        <v>0</v>
      </c>
      <c r="W38" s="7">
        <f>SUMPRODUCT(('Monthly Occurrences (Support)'!$C$4:$C$166=$A38)*('Monthly Occurrences (Support)'!$D$4:$D$166="Hybrid")*('Monthly Occurrences (Support)'!$AB$4:$AB$166))</f>
        <v>0</v>
      </c>
    </row>
    <row r="39" spans="1:23" x14ac:dyDescent="0.25">
      <c r="A39" s="15" t="s">
        <v>36</v>
      </c>
      <c r="B39" s="4">
        <f>SUMPRODUCT(('Monthly Occurrences (Support)'!$C$4:$C$166=$A39)*('Monthly Occurrences (Support)'!$D$4:$D$166="Hybrid")*('Monthly Occurrences (Support)'!$G$4:$G$166))</f>
        <v>0</v>
      </c>
      <c r="C39" s="4">
        <f>SUMPRODUCT(('Monthly Occurrences (Support)'!$C$4:$C$166=$A39)*('Monthly Occurrences (Support)'!$D$4:$D$166="Hybrid")*('Monthly Occurrences (Support)'!$H$4:$H$166))</f>
        <v>0</v>
      </c>
      <c r="D39" s="4">
        <f>SUMPRODUCT(('Monthly Occurrences (Support)'!$C$4:$C$166=$A39)*('Monthly Occurrences (Support)'!$D$4:$D$166="Hybrid")*('Monthly Occurrences (Support)'!$I$4:$I$166))</f>
        <v>0</v>
      </c>
      <c r="E39" s="4">
        <f>SUMPRODUCT(('Monthly Occurrences (Support)'!$C$4:$C$166=$A39)*('Monthly Occurrences (Support)'!$D$4:$D$166="Hybrid")*('Monthly Occurrences (Support)'!$J$4:$J$166))</f>
        <v>0</v>
      </c>
      <c r="F39" s="4">
        <f>SUMPRODUCT(('Monthly Occurrences (Support)'!$C$4:$C$166=$A39)*('Monthly Occurrences (Support)'!$D$4:$D$166="Hybrid")*('Monthly Occurrences (Support)'!$K$4:$K$166))</f>
        <v>0</v>
      </c>
      <c r="G39" s="4">
        <f>SUMPRODUCT(('Monthly Occurrences (Support)'!$C$4:$C$166=$A39)*('Monthly Occurrences (Support)'!$D$4:$D$166="Hybrid")*('Monthly Occurrences (Support)'!$L$4:$L$166))</f>
        <v>0</v>
      </c>
      <c r="H39" s="4">
        <f>SUMPRODUCT(('Monthly Occurrences (Support)'!$C$4:$C$166=$A39)*('Monthly Occurrences (Support)'!$D$4:$D$166="Hybrid")*('Monthly Occurrences (Support)'!$M$4:$M$166))</f>
        <v>0</v>
      </c>
      <c r="I39" s="4">
        <f>SUMPRODUCT(('Monthly Occurrences (Support)'!$C$4:$C$166=$A39)*('Monthly Occurrences (Support)'!$D$4:$D$166="Hybrid")*('Monthly Occurrences (Support)'!$N$4:$N$166))</f>
        <v>0</v>
      </c>
      <c r="J39" s="4">
        <f>SUMPRODUCT(('Monthly Occurrences (Support)'!$C$4:$C$166=$A39)*('Monthly Occurrences (Support)'!$D$4:$D$166="Hybrid")*('Monthly Occurrences (Support)'!$O$4:$O$166))</f>
        <v>0</v>
      </c>
      <c r="K39" s="4">
        <f>SUMPRODUCT(('Monthly Occurrences (Support)'!$C$4:$C$166=$A39)*('Monthly Occurrences (Support)'!$D$4:$D$166="Hybrid")*('Monthly Occurrences (Support)'!$P$4:$P$166))</f>
        <v>0</v>
      </c>
      <c r="L39" s="4">
        <f>SUMPRODUCT(('Monthly Occurrences (Support)'!$C$4:$C$166=$A39)*('Monthly Occurrences (Support)'!$D$4:$D$166="Hybrid")*('Monthly Occurrences (Support)'!$Q$4:$Q$166))</f>
        <v>0</v>
      </c>
      <c r="M39" s="4">
        <f>SUMPRODUCT(('Monthly Occurrences (Support)'!$C$4:$C$166=$A39)*('Monthly Occurrences (Support)'!$D$4:$D$166="Hybrid")*('Monthly Occurrences (Support)'!$R$4:$R$166))</f>
        <v>0</v>
      </c>
      <c r="N39" s="4">
        <f>SUMPRODUCT(('Monthly Occurrences (Support)'!$C$4:$C$166=$A39)*('Monthly Occurrences (Support)'!$D$4:$D$166="Hybrid")*('Monthly Occurrences (Support)'!$S$4:$S$166))</f>
        <v>0</v>
      </c>
      <c r="O39" s="4">
        <f>SUMPRODUCT(('Monthly Occurrences (Support)'!$C$4:$C$166=$A39)*('Monthly Occurrences (Support)'!$D$4:$D$166="Hybrid")*('Monthly Occurrences (Support)'!$T$4:$T$166))</f>
        <v>0</v>
      </c>
      <c r="P39" s="4">
        <f>SUMPRODUCT(('Monthly Occurrences (Support)'!$C$4:$C$166=$A39)*('Monthly Occurrences (Support)'!$D$4:$D$166="Hybrid")*('Monthly Occurrences (Support)'!$U$4:$U$166))</f>
        <v>0</v>
      </c>
      <c r="Q39" s="4">
        <f>SUMPRODUCT(('Monthly Occurrences (Support)'!$C$4:$C$166=$A39)*('Monthly Occurrences (Support)'!$D$4:$D$166="Hybrid")*('Monthly Occurrences (Support)'!$V$4:$V$166))</f>
        <v>0</v>
      </c>
      <c r="R39" s="4">
        <f>SUMPRODUCT(('Monthly Occurrences (Support)'!$C$4:$C$166=$A39)*('Monthly Occurrences (Support)'!$D$4:$D$166="Hybrid")*('Monthly Occurrences (Support)'!$W$4:$W$166))</f>
        <v>0</v>
      </c>
      <c r="S39" s="4">
        <f>SUMPRODUCT(('Monthly Occurrences (Support)'!$C$4:$C$166=$A39)*('Monthly Occurrences (Support)'!$D$4:$D$166="Hybrid")*('Monthly Occurrences (Support)'!$X$4:$X$166))</f>
        <v>0</v>
      </c>
      <c r="T39" s="4">
        <f>SUMPRODUCT(('Monthly Occurrences (Support)'!$C$4:$C$166=$A39)*('Monthly Occurrences (Support)'!$D$4:$D$166="Hybrid")*('Monthly Occurrences (Support)'!$Y$4:$Y$166))</f>
        <v>0</v>
      </c>
      <c r="U39" s="4">
        <f>SUMPRODUCT(('Monthly Occurrences (Support)'!$C$4:$C$166=$A39)*('Monthly Occurrences (Support)'!$D$4:$D$166="Hybrid")*('Monthly Occurrences (Support)'!$Z$4:$Z$166))</f>
        <v>0</v>
      </c>
      <c r="V39" s="4">
        <f>SUMPRODUCT(('Monthly Occurrences (Support)'!$C$4:$C$166=$A39)*('Monthly Occurrences (Support)'!$D$4:$D$166="Hybrid")*('Monthly Occurrences (Support)'!$AA$4:$AA$166))</f>
        <v>0</v>
      </c>
      <c r="W39" s="4">
        <f>SUMPRODUCT(('Monthly Occurrences (Support)'!$C$4:$C$166=$A39)*('Monthly Occurrences (Support)'!$D$4:$D$166="Hybrid")*('Monthly Occurrences (Support)'!$AB$4:$AB$166))</f>
        <v>0</v>
      </c>
    </row>
    <row r="40" spans="1:23" x14ac:dyDescent="0.25">
      <c r="A40" s="16" t="s">
        <v>37</v>
      </c>
      <c r="B40" s="7">
        <f>SUMPRODUCT(('Monthly Occurrences (Support)'!$C$4:$C$166=$A40)*('Monthly Occurrences (Support)'!$D$4:$D$166="Hybrid")*('Monthly Occurrences (Support)'!$G$4:$G$166))</f>
        <v>0</v>
      </c>
      <c r="C40" s="7">
        <f>SUMPRODUCT(('Monthly Occurrences (Support)'!$C$4:$C$166=$A40)*('Monthly Occurrences (Support)'!$D$4:$D$166="Hybrid")*('Monthly Occurrences (Support)'!$H$4:$H$166))</f>
        <v>0</v>
      </c>
      <c r="D40" s="7">
        <f>SUMPRODUCT(('Monthly Occurrences (Support)'!$C$4:$C$166=$A40)*('Monthly Occurrences (Support)'!$D$4:$D$166="Hybrid")*('Monthly Occurrences (Support)'!$I$4:$I$166))</f>
        <v>0</v>
      </c>
      <c r="E40" s="7">
        <f>SUMPRODUCT(('Monthly Occurrences (Support)'!$C$4:$C$166=$A40)*('Monthly Occurrences (Support)'!$D$4:$D$166="Hybrid")*('Monthly Occurrences (Support)'!$J$4:$J$166))</f>
        <v>0</v>
      </c>
      <c r="F40" s="7">
        <f>SUMPRODUCT(('Monthly Occurrences (Support)'!$C$4:$C$166=$A40)*('Monthly Occurrences (Support)'!$D$4:$D$166="Hybrid")*('Monthly Occurrences (Support)'!$K$4:$K$166))</f>
        <v>0</v>
      </c>
      <c r="G40" s="7">
        <f>SUMPRODUCT(('Monthly Occurrences (Support)'!$C$4:$C$166=$A40)*('Monthly Occurrences (Support)'!$D$4:$D$166="Hybrid")*('Monthly Occurrences (Support)'!$L$4:$L$166))</f>
        <v>1</v>
      </c>
      <c r="H40" s="7">
        <f>SUMPRODUCT(('Monthly Occurrences (Support)'!$C$4:$C$166=$A40)*('Monthly Occurrences (Support)'!$D$4:$D$166="Hybrid")*('Monthly Occurrences (Support)'!$M$4:$M$166))</f>
        <v>8</v>
      </c>
      <c r="I40" s="7">
        <f>SUMPRODUCT(('Monthly Occurrences (Support)'!$C$4:$C$166=$A40)*('Monthly Occurrences (Support)'!$D$4:$D$166="Hybrid")*('Monthly Occurrences (Support)'!$N$4:$N$166))</f>
        <v>8</v>
      </c>
      <c r="J40" s="7">
        <f>SUMPRODUCT(('Monthly Occurrences (Support)'!$C$4:$C$166=$A40)*('Monthly Occurrences (Support)'!$D$4:$D$166="Hybrid")*('Monthly Occurrences (Support)'!$O$4:$O$166))</f>
        <v>9</v>
      </c>
      <c r="K40" s="7">
        <f>SUMPRODUCT(('Monthly Occurrences (Support)'!$C$4:$C$166=$A40)*('Monthly Occurrences (Support)'!$D$4:$D$166="Hybrid")*('Monthly Occurrences (Support)'!$P$4:$P$166))</f>
        <v>7</v>
      </c>
      <c r="L40" s="7">
        <f>SUMPRODUCT(('Monthly Occurrences (Support)'!$C$4:$C$166=$A40)*('Monthly Occurrences (Support)'!$D$4:$D$166="Hybrid")*('Monthly Occurrences (Support)'!$Q$4:$Q$166))</f>
        <v>0</v>
      </c>
      <c r="M40" s="7">
        <f>SUMPRODUCT(('Monthly Occurrences (Support)'!$C$4:$C$166=$A40)*('Monthly Occurrences (Support)'!$D$4:$D$166="Hybrid")*('Monthly Occurrences (Support)'!$R$4:$R$166))</f>
        <v>0</v>
      </c>
      <c r="N40" s="7">
        <f>SUMPRODUCT(('Monthly Occurrences (Support)'!$C$4:$C$166=$A40)*('Monthly Occurrences (Support)'!$D$4:$D$166="Hybrid")*('Monthly Occurrences (Support)'!$S$4:$S$166))</f>
        <v>0</v>
      </c>
      <c r="O40" s="7">
        <f>SUMPRODUCT(('Monthly Occurrences (Support)'!$C$4:$C$166=$A40)*('Monthly Occurrences (Support)'!$D$4:$D$166="Hybrid")*('Monthly Occurrences (Support)'!$T$4:$T$166))</f>
        <v>0</v>
      </c>
      <c r="P40" s="7">
        <f>SUMPRODUCT(('Monthly Occurrences (Support)'!$C$4:$C$166=$A40)*('Monthly Occurrences (Support)'!$D$4:$D$166="Hybrid")*('Monthly Occurrences (Support)'!$U$4:$U$166))</f>
        <v>0</v>
      </c>
      <c r="Q40" s="7">
        <f>SUMPRODUCT(('Monthly Occurrences (Support)'!$C$4:$C$166=$A40)*('Monthly Occurrences (Support)'!$D$4:$D$166="Hybrid")*('Monthly Occurrences (Support)'!$V$4:$V$166))</f>
        <v>0</v>
      </c>
      <c r="R40" s="7">
        <f>SUMPRODUCT(('Monthly Occurrences (Support)'!$C$4:$C$166=$A40)*('Monthly Occurrences (Support)'!$D$4:$D$166="Hybrid")*('Monthly Occurrences (Support)'!$W$4:$W$166))</f>
        <v>0</v>
      </c>
      <c r="S40" s="7">
        <f>SUMPRODUCT(('Monthly Occurrences (Support)'!$C$4:$C$166=$A40)*('Monthly Occurrences (Support)'!$D$4:$D$166="Hybrid")*('Monthly Occurrences (Support)'!$X$4:$X$166))</f>
        <v>0</v>
      </c>
      <c r="T40" s="7">
        <f>SUMPRODUCT(('Monthly Occurrences (Support)'!$C$4:$C$166=$A40)*('Monthly Occurrences (Support)'!$D$4:$D$166="Hybrid")*('Monthly Occurrences (Support)'!$Y$4:$Y$166))</f>
        <v>0</v>
      </c>
      <c r="U40" s="7">
        <f>SUMPRODUCT(('Monthly Occurrences (Support)'!$C$4:$C$166=$A40)*('Monthly Occurrences (Support)'!$D$4:$D$166="Hybrid")*('Monthly Occurrences (Support)'!$Z$4:$Z$166))</f>
        <v>0</v>
      </c>
      <c r="V40" s="7">
        <f>SUMPRODUCT(('Monthly Occurrences (Support)'!$C$4:$C$166=$A40)*('Monthly Occurrences (Support)'!$D$4:$D$166="Hybrid")*('Monthly Occurrences (Support)'!$AA$4:$AA$166))</f>
        <v>0</v>
      </c>
      <c r="W40" s="7">
        <f>SUMPRODUCT(('Monthly Occurrences (Support)'!$C$4:$C$166=$A40)*('Monthly Occurrences (Support)'!$D$4:$D$166="Hybrid")*('Monthly Occurrences (Support)'!$AB$4:$AB$166))</f>
        <v>0</v>
      </c>
    </row>
    <row r="41" spans="1:23" x14ac:dyDescent="0.25">
      <c r="A41" s="15" t="s">
        <v>38</v>
      </c>
      <c r="B41" s="4">
        <f>SUMPRODUCT(('Monthly Occurrences (Support)'!$C$4:$C$166=$A41)*('Monthly Occurrences (Support)'!$D$4:$D$166="Hybrid")*('Monthly Occurrences (Support)'!$G$4:$G$166))</f>
        <v>0</v>
      </c>
      <c r="C41" s="4">
        <f>SUMPRODUCT(('Monthly Occurrences (Support)'!$C$4:$C$166=$A41)*('Monthly Occurrences (Support)'!$D$4:$D$166="Hybrid")*('Monthly Occurrences (Support)'!$H$4:$H$166))</f>
        <v>0</v>
      </c>
      <c r="D41" s="4">
        <f>SUMPRODUCT(('Monthly Occurrences (Support)'!$C$4:$C$166=$A41)*('Monthly Occurrences (Support)'!$D$4:$D$166="Hybrid")*('Monthly Occurrences (Support)'!$I$4:$I$166))</f>
        <v>0</v>
      </c>
      <c r="E41" s="4">
        <f>SUMPRODUCT(('Monthly Occurrences (Support)'!$C$4:$C$166=$A41)*('Monthly Occurrences (Support)'!$D$4:$D$166="Hybrid")*('Monthly Occurrences (Support)'!$J$4:$J$166))</f>
        <v>0</v>
      </c>
      <c r="F41" s="4">
        <f>SUMPRODUCT(('Monthly Occurrences (Support)'!$C$4:$C$166=$A41)*('Monthly Occurrences (Support)'!$D$4:$D$166="Hybrid")*('Monthly Occurrences (Support)'!$K$4:$K$166))</f>
        <v>6</v>
      </c>
      <c r="G41" s="4">
        <f>SUMPRODUCT(('Monthly Occurrences (Support)'!$C$4:$C$166=$A41)*('Monthly Occurrences (Support)'!$D$4:$D$166="Hybrid")*('Monthly Occurrences (Support)'!$L$4:$L$166))</f>
        <v>16</v>
      </c>
      <c r="H41" s="4">
        <f>SUMPRODUCT(('Monthly Occurrences (Support)'!$C$4:$C$166=$A41)*('Monthly Occurrences (Support)'!$D$4:$D$166="Hybrid")*('Monthly Occurrences (Support)'!$M$4:$M$166))</f>
        <v>17</v>
      </c>
      <c r="I41" s="4">
        <f>SUMPRODUCT(('Monthly Occurrences (Support)'!$C$4:$C$166=$A41)*('Monthly Occurrences (Support)'!$D$4:$D$166="Hybrid")*('Monthly Occurrences (Support)'!$N$4:$N$166))</f>
        <v>18</v>
      </c>
      <c r="J41" s="4">
        <f>SUMPRODUCT(('Monthly Occurrences (Support)'!$C$4:$C$166=$A41)*('Monthly Occurrences (Support)'!$D$4:$D$166="Hybrid")*('Monthly Occurrences (Support)'!$O$4:$O$166))</f>
        <v>24</v>
      </c>
      <c r="K41" s="4">
        <f>SUMPRODUCT(('Monthly Occurrences (Support)'!$C$4:$C$166=$A41)*('Monthly Occurrences (Support)'!$D$4:$D$166="Hybrid")*('Monthly Occurrences (Support)'!$P$4:$P$166))</f>
        <v>14</v>
      </c>
      <c r="L41" s="4">
        <f>SUMPRODUCT(('Monthly Occurrences (Support)'!$C$4:$C$166=$A41)*('Monthly Occurrences (Support)'!$D$4:$D$166="Hybrid")*('Monthly Occurrences (Support)'!$Q$4:$Q$166))</f>
        <v>11</v>
      </c>
      <c r="M41" s="4">
        <f>SUMPRODUCT(('Monthly Occurrences (Support)'!$C$4:$C$166=$A41)*('Monthly Occurrences (Support)'!$D$4:$D$166="Hybrid")*('Monthly Occurrences (Support)'!$R$4:$R$166))</f>
        <v>6</v>
      </c>
      <c r="N41" s="4">
        <f>SUMPRODUCT(('Monthly Occurrences (Support)'!$C$4:$C$166=$A41)*('Monthly Occurrences (Support)'!$D$4:$D$166="Hybrid")*('Monthly Occurrences (Support)'!$S$4:$S$166))</f>
        <v>4</v>
      </c>
      <c r="O41" s="4">
        <f>SUMPRODUCT(('Monthly Occurrences (Support)'!$C$4:$C$166=$A41)*('Monthly Occurrences (Support)'!$D$4:$D$166="Hybrid")*('Monthly Occurrences (Support)'!$T$4:$T$166))</f>
        <v>1</v>
      </c>
      <c r="P41" s="4">
        <f>SUMPRODUCT(('Monthly Occurrences (Support)'!$C$4:$C$166=$A41)*('Monthly Occurrences (Support)'!$D$4:$D$166="Hybrid")*('Monthly Occurrences (Support)'!$U$4:$U$166))</f>
        <v>0</v>
      </c>
      <c r="Q41" s="4">
        <f>SUMPRODUCT(('Monthly Occurrences (Support)'!$C$4:$C$166=$A41)*('Monthly Occurrences (Support)'!$D$4:$D$166="Hybrid")*('Monthly Occurrences (Support)'!$V$4:$V$166))</f>
        <v>0</v>
      </c>
      <c r="R41" s="4">
        <f>SUMPRODUCT(('Monthly Occurrences (Support)'!$C$4:$C$166=$A41)*('Monthly Occurrences (Support)'!$D$4:$D$166="Hybrid")*('Monthly Occurrences (Support)'!$W$4:$W$166))</f>
        <v>0</v>
      </c>
      <c r="S41" s="4">
        <f>SUMPRODUCT(('Monthly Occurrences (Support)'!$C$4:$C$166=$A41)*('Monthly Occurrences (Support)'!$D$4:$D$166="Hybrid")*('Monthly Occurrences (Support)'!$X$4:$X$166))</f>
        <v>0</v>
      </c>
      <c r="T41" s="4">
        <f>SUMPRODUCT(('Monthly Occurrences (Support)'!$C$4:$C$166=$A41)*('Monthly Occurrences (Support)'!$D$4:$D$166="Hybrid")*('Monthly Occurrences (Support)'!$Y$4:$Y$166))</f>
        <v>0</v>
      </c>
      <c r="U41" s="4">
        <f>SUMPRODUCT(('Monthly Occurrences (Support)'!$C$4:$C$166=$A41)*('Monthly Occurrences (Support)'!$D$4:$D$166="Hybrid")*('Monthly Occurrences (Support)'!$Z$4:$Z$166))</f>
        <v>0</v>
      </c>
      <c r="V41" s="4">
        <f>SUMPRODUCT(('Monthly Occurrences (Support)'!$C$4:$C$166=$A41)*('Monthly Occurrences (Support)'!$D$4:$D$166="Hybrid")*('Monthly Occurrences (Support)'!$AA$4:$AA$166))</f>
        <v>0</v>
      </c>
      <c r="W41" s="4">
        <f>SUMPRODUCT(('Monthly Occurrences (Support)'!$C$4:$C$166=$A41)*('Monthly Occurrences (Support)'!$D$4:$D$166="Hybrid")*('Monthly Occurrences (Support)'!$AB$4:$AB$166))</f>
        <v>0</v>
      </c>
    </row>
    <row r="42" spans="1:23" x14ac:dyDescent="0.25">
      <c r="A42" s="16" t="s">
        <v>39</v>
      </c>
      <c r="B42" s="7">
        <f>SUMPRODUCT(('Monthly Occurrences (Support)'!$C$4:$C$166=$A42)*('Monthly Occurrences (Support)'!$D$4:$D$166="Hybrid")*('Monthly Occurrences (Support)'!$G$4:$G$166))</f>
        <v>0</v>
      </c>
      <c r="C42" s="7">
        <f>SUMPRODUCT(('Monthly Occurrences (Support)'!$C$4:$C$166=$A42)*('Monthly Occurrences (Support)'!$D$4:$D$166="Hybrid")*('Monthly Occurrences (Support)'!$H$4:$H$166))</f>
        <v>0</v>
      </c>
      <c r="D42" s="7">
        <f>SUMPRODUCT(('Monthly Occurrences (Support)'!$C$4:$C$166=$A42)*('Monthly Occurrences (Support)'!$D$4:$D$166="Hybrid")*('Monthly Occurrences (Support)'!$I$4:$I$166))</f>
        <v>0</v>
      </c>
      <c r="E42" s="7">
        <f>SUMPRODUCT(('Monthly Occurrences (Support)'!$C$4:$C$166=$A42)*('Monthly Occurrences (Support)'!$D$4:$D$166="Hybrid")*('Monthly Occurrences (Support)'!$J$4:$J$166))</f>
        <v>0</v>
      </c>
      <c r="F42" s="7">
        <f>SUMPRODUCT(('Monthly Occurrences (Support)'!$C$4:$C$166=$A42)*('Monthly Occurrences (Support)'!$D$4:$D$166="Hybrid")*('Monthly Occurrences (Support)'!$K$4:$K$166))</f>
        <v>0</v>
      </c>
      <c r="G42" s="7">
        <f>SUMPRODUCT(('Monthly Occurrences (Support)'!$C$4:$C$166=$A42)*('Monthly Occurrences (Support)'!$D$4:$D$166="Hybrid")*('Monthly Occurrences (Support)'!$L$4:$L$166))</f>
        <v>0</v>
      </c>
      <c r="H42" s="7">
        <f>SUMPRODUCT(('Monthly Occurrences (Support)'!$C$4:$C$166=$A42)*('Monthly Occurrences (Support)'!$D$4:$D$166="Hybrid")*('Monthly Occurrences (Support)'!$M$4:$M$166))</f>
        <v>0</v>
      </c>
      <c r="I42" s="7">
        <f>SUMPRODUCT(('Monthly Occurrences (Support)'!$C$4:$C$166=$A42)*('Monthly Occurrences (Support)'!$D$4:$D$166="Hybrid")*('Monthly Occurrences (Support)'!$N$4:$N$166))</f>
        <v>0</v>
      </c>
      <c r="J42" s="7">
        <f>SUMPRODUCT(('Monthly Occurrences (Support)'!$C$4:$C$166=$A42)*('Monthly Occurrences (Support)'!$D$4:$D$166="Hybrid")*('Monthly Occurrences (Support)'!$O$4:$O$166))</f>
        <v>0</v>
      </c>
      <c r="K42" s="7">
        <f>SUMPRODUCT(('Monthly Occurrences (Support)'!$C$4:$C$166=$A42)*('Monthly Occurrences (Support)'!$D$4:$D$166="Hybrid")*('Monthly Occurrences (Support)'!$P$4:$P$166))</f>
        <v>0</v>
      </c>
      <c r="L42" s="7">
        <f>SUMPRODUCT(('Monthly Occurrences (Support)'!$C$4:$C$166=$A42)*('Monthly Occurrences (Support)'!$D$4:$D$166="Hybrid")*('Monthly Occurrences (Support)'!$Q$4:$Q$166))</f>
        <v>0</v>
      </c>
      <c r="M42" s="7">
        <f>SUMPRODUCT(('Monthly Occurrences (Support)'!$C$4:$C$166=$A42)*('Monthly Occurrences (Support)'!$D$4:$D$166="Hybrid")*('Monthly Occurrences (Support)'!$R$4:$R$166))</f>
        <v>0</v>
      </c>
      <c r="N42" s="7">
        <f>SUMPRODUCT(('Monthly Occurrences (Support)'!$C$4:$C$166=$A42)*('Monthly Occurrences (Support)'!$D$4:$D$166="Hybrid")*('Monthly Occurrences (Support)'!$S$4:$S$166))</f>
        <v>0</v>
      </c>
      <c r="O42" s="7">
        <f>SUMPRODUCT(('Monthly Occurrences (Support)'!$C$4:$C$166=$A42)*('Monthly Occurrences (Support)'!$D$4:$D$166="Hybrid")*('Monthly Occurrences (Support)'!$T$4:$T$166))</f>
        <v>0</v>
      </c>
      <c r="P42" s="7">
        <f>SUMPRODUCT(('Monthly Occurrences (Support)'!$C$4:$C$166=$A42)*('Monthly Occurrences (Support)'!$D$4:$D$166="Hybrid")*('Monthly Occurrences (Support)'!$U$4:$U$166))</f>
        <v>0</v>
      </c>
      <c r="Q42" s="7">
        <f>SUMPRODUCT(('Monthly Occurrences (Support)'!$C$4:$C$166=$A42)*('Monthly Occurrences (Support)'!$D$4:$D$166="Hybrid")*('Monthly Occurrences (Support)'!$V$4:$V$166))</f>
        <v>0</v>
      </c>
      <c r="R42" s="7">
        <f>SUMPRODUCT(('Monthly Occurrences (Support)'!$C$4:$C$166=$A42)*('Monthly Occurrences (Support)'!$D$4:$D$166="Hybrid")*('Monthly Occurrences (Support)'!$W$4:$W$166))</f>
        <v>0</v>
      </c>
      <c r="S42" s="7">
        <f>SUMPRODUCT(('Monthly Occurrences (Support)'!$C$4:$C$166=$A42)*('Monthly Occurrences (Support)'!$D$4:$D$166="Hybrid")*('Monthly Occurrences (Support)'!$X$4:$X$166))</f>
        <v>0</v>
      </c>
      <c r="T42" s="7">
        <f>SUMPRODUCT(('Monthly Occurrences (Support)'!$C$4:$C$166=$A42)*('Monthly Occurrences (Support)'!$D$4:$D$166="Hybrid")*('Monthly Occurrences (Support)'!$Y$4:$Y$166))</f>
        <v>0</v>
      </c>
      <c r="U42" s="7">
        <f>SUMPRODUCT(('Monthly Occurrences (Support)'!$C$4:$C$166=$A42)*('Monthly Occurrences (Support)'!$D$4:$D$166="Hybrid")*('Monthly Occurrences (Support)'!$Z$4:$Z$166))</f>
        <v>0</v>
      </c>
      <c r="V42" s="7">
        <f>SUMPRODUCT(('Monthly Occurrences (Support)'!$C$4:$C$166=$A42)*('Monthly Occurrences (Support)'!$D$4:$D$166="Hybrid")*('Monthly Occurrences (Support)'!$AA$4:$AA$166))</f>
        <v>0</v>
      </c>
      <c r="W42" s="7">
        <f>SUMPRODUCT(('Monthly Occurrences (Support)'!$C$4:$C$166=$A42)*('Monthly Occurrences (Support)'!$D$4:$D$166="Hybrid")*('Monthly Occurrences (Support)'!$AB$4:$AB$166))</f>
        <v>0</v>
      </c>
    </row>
    <row r="43" spans="1:23" x14ac:dyDescent="0.25">
      <c r="A43" s="15" t="s">
        <v>40</v>
      </c>
      <c r="B43" s="4">
        <f>SUMPRODUCT(('Monthly Occurrences (Support)'!$C$4:$C$166=$A43)*('Monthly Occurrences (Support)'!$D$4:$D$166="Hybrid")*('Monthly Occurrences (Support)'!$G$4:$G$166))</f>
        <v>0</v>
      </c>
      <c r="C43" s="4">
        <f>SUMPRODUCT(('Monthly Occurrences (Support)'!$C$4:$C$166=$A43)*('Monthly Occurrences (Support)'!$D$4:$D$166="Hybrid")*('Monthly Occurrences (Support)'!$H$4:$H$166))</f>
        <v>0</v>
      </c>
      <c r="D43" s="4">
        <f>SUMPRODUCT(('Monthly Occurrences (Support)'!$C$4:$C$166=$A43)*('Monthly Occurrences (Support)'!$D$4:$D$166="Hybrid")*('Monthly Occurrences (Support)'!$I$4:$I$166))</f>
        <v>0</v>
      </c>
      <c r="E43" s="4">
        <f>SUMPRODUCT(('Monthly Occurrences (Support)'!$C$4:$C$166=$A43)*('Monthly Occurrences (Support)'!$D$4:$D$166="Hybrid")*('Monthly Occurrences (Support)'!$J$4:$J$166))</f>
        <v>0</v>
      </c>
      <c r="F43" s="4">
        <f>SUMPRODUCT(('Monthly Occurrences (Support)'!$C$4:$C$166=$A43)*('Monthly Occurrences (Support)'!$D$4:$D$166="Hybrid")*('Monthly Occurrences (Support)'!$K$4:$K$166))</f>
        <v>0</v>
      </c>
      <c r="G43" s="4">
        <f>SUMPRODUCT(('Monthly Occurrences (Support)'!$C$4:$C$166=$A43)*('Monthly Occurrences (Support)'!$D$4:$D$166="Hybrid")*('Monthly Occurrences (Support)'!$L$4:$L$166))</f>
        <v>0</v>
      </c>
      <c r="H43" s="4">
        <f>SUMPRODUCT(('Monthly Occurrences (Support)'!$C$4:$C$166=$A43)*('Monthly Occurrences (Support)'!$D$4:$D$166="Hybrid")*('Monthly Occurrences (Support)'!$M$4:$M$166))</f>
        <v>0</v>
      </c>
      <c r="I43" s="4">
        <f>SUMPRODUCT(('Monthly Occurrences (Support)'!$C$4:$C$166=$A43)*('Monthly Occurrences (Support)'!$D$4:$D$166="Hybrid")*('Monthly Occurrences (Support)'!$N$4:$N$166))</f>
        <v>0</v>
      </c>
      <c r="J43" s="4">
        <f>SUMPRODUCT(('Monthly Occurrences (Support)'!$C$4:$C$166=$A43)*('Monthly Occurrences (Support)'!$D$4:$D$166="Hybrid")*('Monthly Occurrences (Support)'!$O$4:$O$166))</f>
        <v>0</v>
      </c>
      <c r="K43" s="4">
        <f>SUMPRODUCT(('Monthly Occurrences (Support)'!$C$4:$C$166=$A43)*('Monthly Occurrences (Support)'!$D$4:$D$166="Hybrid")*('Monthly Occurrences (Support)'!$P$4:$P$166))</f>
        <v>0</v>
      </c>
      <c r="L43" s="4">
        <f>SUMPRODUCT(('Monthly Occurrences (Support)'!$C$4:$C$166=$A43)*('Monthly Occurrences (Support)'!$D$4:$D$166="Hybrid")*('Monthly Occurrences (Support)'!$Q$4:$Q$166))</f>
        <v>0</v>
      </c>
      <c r="M43" s="4">
        <f>SUMPRODUCT(('Monthly Occurrences (Support)'!$C$4:$C$166=$A43)*('Monthly Occurrences (Support)'!$D$4:$D$166="Hybrid")*('Monthly Occurrences (Support)'!$R$4:$R$166))</f>
        <v>0</v>
      </c>
      <c r="N43" s="4">
        <f>SUMPRODUCT(('Monthly Occurrences (Support)'!$C$4:$C$166=$A43)*('Monthly Occurrences (Support)'!$D$4:$D$166="Hybrid")*('Monthly Occurrences (Support)'!$S$4:$S$166))</f>
        <v>0</v>
      </c>
      <c r="O43" s="4">
        <f>SUMPRODUCT(('Monthly Occurrences (Support)'!$C$4:$C$166=$A43)*('Monthly Occurrences (Support)'!$D$4:$D$166="Hybrid")*('Monthly Occurrences (Support)'!$T$4:$T$166))</f>
        <v>0</v>
      </c>
      <c r="P43" s="4">
        <f>SUMPRODUCT(('Monthly Occurrences (Support)'!$C$4:$C$166=$A43)*('Monthly Occurrences (Support)'!$D$4:$D$166="Hybrid")*('Monthly Occurrences (Support)'!$U$4:$U$166))</f>
        <v>0</v>
      </c>
      <c r="Q43" s="4">
        <f>SUMPRODUCT(('Monthly Occurrences (Support)'!$C$4:$C$166=$A43)*('Monthly Occurrences (Support)'!$D$4:$D$166="Hybrid")*('Monthly Occurrences (Support)'!$V$4:$V$166))</f>
        <v>0</v>
      </c>
      <c r="R43" s="4">
        <f>SUMPRODUCT(('Monthly Occurrences (Support)'!$C$4:$C$166=$A43)*('Monthly Occurrences (Support)'!$D$4:$D$166="Hybrid")*('Monthly Occurrences (Support)'!$W$4:$W$166))</f>
        <v>0</v>
      </c>
      <c r="S43" s="4">
        <f>SUMPRODUCT(('Monthly Occurrences (Support)'!$C$4:$C$166=$A43)*('Monthly Occurrences (Support)'!$D$4:$D$166="Hybrid")*('Monthly Occurrences (Support)'!$X$4:$X$166))</f>
        <v>0</v>
      </c>
      <c r="T43" s="4">
        <f>SUMPRODUCT(('Monthly Occurrences (Support)'!$C$4:$C$166=$A43)*('Monthly Occurrences (Support)'!$D$4:$D$166="Hybrid")*('Monthly Occurrences (Support)'!$Y$4:$Y$166))</f>
        <v>0</v>
      </c>
      <c r="U43" s="4">
        <f>SUMPRODUCT(('Monthly Occurrences (Support)'!$C$4:$C$166=$A43)*('Monthly Occurrences (Support)'!$D$4:$D$166="Hybrid")*('Monthly Occurrences (Support)'!$Z$4:$Z$166))</f>
        <v>0</v>
      </c>
      <c r="V43" s="4">
        <f>SUMPRODUCT(('Monthly Occurrences (Support)'!$C$4:$C$166=$A43)*('Monthly Occurrences (Support)'!$D$4:$D$166="Hybrid")*('Monthly Occurrences (Support)'!$AA$4:$AA$166))</f>
        <v>0</v>
      </c>
      <c r="W43" s="4">
        <f>SUMPRODUCT(('Monthly Occurrences (Support)'!$C$4:$C$166=$A43)*('Monthly Occurrences (Support)'!$D$4:$D$166="Hybrid")*('Monthly Occurrences (Support)'!$AB$4:$AB$166))</f>
        <v>0</v>
      </c>
    </row>
    <row r="44" spans="1:23" x14ac:dyDescent="0.25">
      <c r="A44" s="16" t="s">
        <v>41</v>
      </c>
      <c r="B44" s="7">
        <f>SUMPRODUCT(('Monthly Occurrences (Support)'!$C$4:$C$166=$A44)*('Monthly Occurrences (Support)'!$D$4:$D$166="Hybrid")*('Monthly Occurrences (Support)'!$G$4:$G$166))</f>
        <v>0</v>
      </c>
      <c r="C44" s="7">
        <f>SUMPRODUCT(('Monthly Occurrences (Support)'!$C$4:$C$166=$A44)*('Monthly Occurrences (Support)'!$D$4:$D$166="Hybrid")*('Monthly Occurrences (Support)'!$H$4:$H$166))</f>
        <v>0</v>
      </c>
      <c r="D44" s="7">
        <f>SUMPRODUCT(('Monthly Occurrences (Support)'!$C$4:$C$166=$A44)*('Monthly Occurrences (Support)'!$D$4:$D$166="Hybrid")*('Monthly Occurrences (Support)'!$I$4:$I$166))</f>
        <v>0</v>
      </c>
      <c r="E44" s="7">
        <f>SUMPRODUCT(('Monthly Occurrences (Support)'!$C$4:$C$166=$A44)*('Monthly Occurrences (Support)'!$D$4:$D$166="Hybrid")*('Monthly Occurrences (Support)'!$J$4:$J$166))</f>
        <v>0</v>
      </c>
      <c r="F44" s="7">
        <f>SUMPRODUCT(('Monthly Occurrences (Support)'!$C$4:$C$166=$A44)*('Monthly Occurrences (Support)'!$D$4:$D$166="Hybrid")*('Monthly Occurrences (Support)'!$K$4:$K$166))</f>
        <v>0</v>
      </c>
      <c r="G44" s="7">
        <f>SUMPRODUCT(('Monthly Occurrences (Support)'!$C$4:$C$166=$A44)*('Monthly Occurrences (Support)'!$D$4:$D$166="Hybrid")*('Monthly Occurrences (Support)'!$L$4:$L$166))</f>
        <v>0</v>
      </c>
      <c r="H44" s="7">
        <f>SUMPRODUCT(('Monthly Occurrences (Support)'!$C$4:$C$166=$A44)*('Monthly Occurrences (Support)'!$D$4:$D$166="Hybrid")*('Monthly Occurrences (Support)'!$M$4:$M$166))</f>
        <v>0</v>
      </c>
      <c r="I44" s="7">
        <f>SUMPRODUCT(('Monthly Occurrences (Support)'!$C$4:$C$166=$A44)*('Monthly Occurrences (Support)'!$D$4:$D$166="Hybrid")*('Monthly Occurrences (Support)'!$N$4:$N$166))</f>
        <v>0</v>
      </c>
      <c r="J44" s="7">
        <f>SUMPRODUCT(('Monthly Occurrences (Support)'!$C$4:$C$166=$A44)*('Monthly Occurrences (Support)'!$D$4:$D$166="Hybrid")*('Monthly Occurrences (Support)'!$O$4:$O$166))</f>
        <v>0</v>
      </c>
      <c r="K44" s="7">
        <f>SUMPRODUCT(('Monthly Occurrences (Support)'!$C$4:$C$166=$A44)*('Monthly Occurrences (Support)'!$D$4:$D$166="Hybrid")*('Monthly Occurrences (Support)'!$P$4:$P$166))</f>
        <v>0</v>
      </c>
      <c r="L44" s="7">
        <f>SUMPRODUCT(('Monthly Occurrences (Support)'!$C$4:$C$166=$A44)*('Monthly Occurrences (Support)'!$D$4:$D$166="Hybrid")*('Monthly Occurrences (Support)'!$Q$4:$Q$166))</f>
        <v>0</v>
      </c>
      <c r="M44" s="7">
        <f>SUMPRODUCT(('Monthly Occurrences (Support)'!$C$4:$C$166=$A44)*('Monthly Occurrences (Support)'!$D$4:$D$166="Hybrid")*('Monthly Occurrences (Support)'!$R$4:$R$166))</f>
        <v>0</v>
      </c>
      <c r="N44" s="7">
        <f>SUMPRODUCT(('Monthly Occurrences (Support)'!$C$4:$C$166=$A44)*('Monthly Occurrences (Support)'!$D$4:$D$166="Hybrid")*('Monthly Occurrences (Support)'!$S$4:$S$166))</f>
        <v>0</v>
      </c>
      <c r="O44" s="7">
        <f>SUMPRODUCT(('Monthly Occurrences (Support)'!$C$4:$C$166=$A44)*('Monthly Occurrences (Support)'!$D$4:$D$166="Hybrid")*('Monthly Occurrences (Support)'!$T$4:$T$166))</f>
        <v>0</v>
      </c>
      <c r="P44" s="7">
        <f>SUMPRODUCT(('Monthly Occurrences (Support)'!$C$4:$C$166=$A44)*('Monthly Occurrences (Support)'!$D$4:$D$166="Hybrid")*('Monthly Occurrences (Support)'!$U$4:$U$166))</f>
        <v>0</v>
      </c>
      <c r="Q44" s="7">
        <f>SUMPRODUCT(('Monthly Occurrences (Support)'!$C$4:$C$166=$A44)*('Monthly Occurrences (Support)'!$D$4:$D$166="Hybrid")*('Monthly Occurrences (Support)'!$V$4:$V$166))</f>
        <v>0</v>
      </c>
      <c r="R44" s="7">
        <f>SUMPRODUCT(('Monthly Occurrences (Support)'!$C$4:$C$166=$A44)*('Monthly Occurrences (Support)'!$D$4:$D$166="Hybrid")*('Monthly Occurrences (Support)'!$W$4:$W$166))</f>
        <v>0</v>
      </c>
      <c r="S44" s="7">
        <f>SUMPRODUCT(('Monthly Occurrences (Support)'!$C$4:$C$166=$A44)*('Monthly Occurrences (Support)'!$D$4:$D$166="Hybrid")*('Monthly Occurrences (Support)'!$X$4:$X$166))</f>
        <v>0</v>
      </c>
      <c r="T44" s="7">
        <f>SUMPRODUCT(('Monthly Occurrences (Support)'!$C$4:$C$166=$A44)*('Monthly Occurrences (Support)'!$D$4:$D$166="Hybrid")*('Monthly Occurrences (Support)'!$Y$4:$Y$166))</f>
        <v>0</v>
      </c>
      <c r="U44" s="7">
        <f>SUMPRODUCT(('Monthly Occurrences (Support)'!$C$4:$C$166=$A44)*('Monthly Occurrences (Support)'!$D$4:$D$166="Hybrid")*('Monthly Occurrences (Support)'!$Z$4:$Z$166))</f>
        <v>0</v>
      </c>
      <c r="V44" s="7">
        <f>SUMPRODUCT(('Monthly Occurrences (Support)'!$C$4:$C$166=$A44)*('Monthly Occurrences (Support)'!$D$4:$D$166="Hybrid")*('Monthly Occurrences (Support)'!$AA$4:$AA$166))</f>
        <v>0</v>
      </c>
      <c r="W44" s="7">
        <f>SUMPRODUCT(('Monthly Occurrences (Support)'!$C$4:$C$166=$A44)*('Monthly Occurrences (Support)'!$D$4:$D$166="Hybrid")*('Monthly Occurrences (Support)'!$AB$4:$AB$166))</f>
        <v>0</v>
      </c>
    </row>
    <row r="45" spans="1:23" x14ac:dyDescent="0.25">
      <c r="A45" s="15" t="s">
        <v>42</v>
      </c>
      <c r="B45" s="4">
        <f>SUMPRODUCT(('Monthly Occurrences (Support)'!$C$4:$C$166=$A45)*('Monthly Occurrences (Support)'!$D$4:$D$166="Hybrid")*('Monthly Occurrences (Support)'!$G$4:$G$166))</f>
        <v>0</v>
      </c>
      <c r="C45" s="4">
        <f>SUMPRODUCT(('Monthly Occurrences (Support)'!$C$4:$C$166=$A45)*('Monthly Occurrences (Support)'!$D$4:$D$166="Hybrid")*('Monthly Occurrences (Support)'!$H$4:$H$166))</f>
        <v>0</v>
      </c>
      <c r="D45" s="4">
        <f>SUMPRODUCT(('Monthly Occurrences (Support)'!$C$4:$C$166=$A45)*('Monthly Occurrences (Support)'!$D$4:$D$166="Hybrid")*('Monthly Occurrences (Support)'!$I$4:$I$166))</f>
        <v>0</v>
      </c>
      <c r="E45" s="4">
        <f>SUMPRODUCT(('Monthly Occurrences (Support)'!$C$4:$C$166=$A45)*('Monthly Occurrences (Support)'!$D$4:$D$166="Hybrid")*('Monthly Occurrences (Support)'!$J$4:$J$166))</f>
        <v>0</v>
      </c>
      <c r="F45" s="4">
        <f>SUMPRODUCT(('Monthly Occurrences (Support)'!$C$4:$C$166=$A45)*('Monthly Occurrences (Support)'!$D$4:$D$166="Hybrid")*('Monthly Occurrences (Support)'!$K$4:$K$166))</f>
        <v>0</v>
      </c>
      <c r="G45" s="4">
        <f>SUMPRODUCT(('Monthly Occurrences (Support)'!$C$4:$C$166=$A45)*('Monthly Occurrences (Support)'!$D$4:$D$166="Hybrid")*('Monthly Occurrences (Support)'!$L$4:$L$166))</f>
        <v>0</v>
      </c>
      <c r="H45" s="4">
        <f>SUMPRODUCT(('Monthly Occurrences (Support)'!$C$4:$C$166=$A45)*('Monthly Occurrences (Support)'!$D$4:$D$166="Hybrid")*('Monthly Occurrences (Support)'!$M$4:$M$166))</f>
        <v>0</v>
      </c>
      <c r="I45" s="4">
        <f>SUMPRODUCT(('Monthly Occurrences (Support)'!$C$4:$C$166=$A45)*('Monthly Occurrences (Support)'!$D$4:$D$166="Hybrid")*('Monthly Occurrences (Support)'!$N$4:$N$166))</f>
        <v>0</v>
      </c>
      <c r="J45" s="4">
        <f>SUMPRODUCT(('Monthly Occurrences (Support)'!$C$4:$C$166=$A45)*('Monthly Occurrences (Support)'!$D$4:$D$166="Hybrid")*('Monthly Occurrences (Support)'!$O$4:$O$166))</f>
        <v>0</v>
      </c>
      <c r="K45" s="4">
        <f>SUMPRODUCT(('Monthly Occurrences (Support)'!$C$4:$C$166=$A45)*('Monthly Occurrences (Support)'!$D$4:$D$166="Hybrid")*('Monthly Occurrences (Support)'!$P$4:$P$166))</f>
        <v>0</v>
      </c>
      <c r="L45" s="4">
        <f>SUMPRODUCT(('Monthly Occurrences (Support)'!$C$4:$C$166=$A45)*('Monthly Occurrences (Support)'!$D$4:$D$166="Hybrid")*('Monthly Occurrences (Support)'!$Q$4:$Q$166))</f>
        <v>0</v>
      </c>
      <c r="M45" s="4">
        <f>SUMPRODUCT(('Monthly Occurrences (Support)'!$C$4:$C$166=$A45)*('Monthly Occurrences (Support)'!$D$4:$D$166="Hybrid")*('Monthly Occurrences (Support)'!$R$4:$R$166))</f>
        <v>0</v>
      </c>
      <c r="N45" s="4">
        <f>SUMPRODUCT(('Monthly Occurrences (Support)'!$C$4:$C$166=$A45)*('Monthly Occurrences (Support)'!$D$4:$D$166="Hybrid")*('Monthly Occurrences (Support)'!$S$4:$S$166))</f>
        <v>0</v>
      </c>
      <c r="O45" s="4">
        <f>SUMPRODUCT(('Monthly Occurrences (Support)'!$C$4:$C$166=$A45)*('Monthly Occurrences (Support)'!$D$4:$D$166="Hybrid")*('Monthly Occurrences (Support)'!$T$4:$T$166))</f>
        <v>0</v>
      </c>
      <c r="P45" s="4">
        <f>SUMPRODUCT(('Monthly Occurrences (Support)'!$C$4:$C$166=$A45)*('Monthly Occurrences (Support)'!$D$4:$D$166="Hybrid")*('Monthly Occurrences (Support)'!$U$4:$U$166))</f>
        <v>0</v>
      </c>
      <c r="Q45" s="4">
        <f>SUMPRODUCT(('Monthly Occurrences (Support)'!$C$4:$C$166=$A45)*('Monthly Occurrences (Support)'!$D$4:$D$166="Hybrid")*('Monthly Occurrences (Support)'!$V$4:$V$166))</f>
        <v>0</v>
      </c>
      <c r="R45" s="4">
        <f>SUMPRODUCT(('Monthly Occurrences (Support)'!$C$4:$C$166=$A45)*('Monthly Occurrences (Support)'!$D$4:$D$166="Hybrid")*('Monthly Occurrences (Support)'!$W$4:$W$166))</f>
        <v>0</v>
      </c>
      <c r="S45" s="4">
        <f>SUMPRODUCT(('Monthly Occurrences (Support)'!$C$4:$C$166=$A45)*('Monthly Occurrences (Support)'!$D$4:$D$166="Hybrid")*('Monthly Occurrences (Support)'!$X$4:$X$166))</f>
        <v>0</v>
      </c>
      <c r="T45" s="4">
        <f>SUMPRODUCT(('Monthly Occurrences (Support)'!$C$4:$C$166=$A45)*('Monthly Occurrences (Support)'!$D$4:$D$166="Hybrid")*('Monthly Occurrences (Support)'!$Y$4:$Y$166))</f>
        <v>0</v>
      </c>
      <c r="U45" s="4">
        <f>SUMPRODUCT(('Monthly Occurrences (Support)'!$C$4:$C$166=$A45)*('Monthly Occurrences (Support)'!$D$4:$D$166="Hybrid")*('Monthly Occurrences (Support)'!$Z$4:$Z$166))</f>
        <v>0</v>
      </c>
      <c r="V45" s="4">
        <f>SUMPRODUCT(('Monthly Occurrences (Support)'!$C$4:$C$166=$A45)*('Monthly Occurrences (Support)'!$D$4:$D$166="Hybrid")*('Monthly Occurrences (Support)'!$AA$4:$AA$166))</f>
        <v>0</v>
      </c>
      <c r="W45" s="4">
        <f>SUMPRODUCT(('Monthly Occurrences (Support)'!$C$4:$C$166=$A45)*('Monthly Occurrences (Support)'!$D$4:$D$166="Hybrid")*('Monthly Occurrences (Support)'!$AB$4:$AB$166))</f>
        <v>0</v>
      </c>
    </row>
    <row r="46" spans="1:23" x14ac:dyDescent="0.25">
      <c r="A46" s="16" t="s">
        <v>43</v>
      </c>
      <c r="B46" s="7">
        <f>SUMPRODUCT(('Monthly Occurrences (Support)'!$C$4:$C$166=$A46)*('Monthly Occurrences (Support)'!$D$4:$D$166="Hybrid")*('Monthly Occurrences (Support)'!$G$4:$G$166))</f>
        <v>0</v>
      </c>
      <c r="C46" s="7">
        <f>SUMPRODUCT(('Monthly Occurrences (Support)'!$C$4:$C$166=$A46)*('Monthly Occurrences (Support)'!$D$4:$D$166="Hybrid")*('Monthly Occurrences (Support)'!$H$4:$H$166))</f>
        <v>0</v>
      </c>
      <c r="D46" s="7">
        <f>SUMPRODUCT(('Monthly Occurrences (Support)'!$C$4:$C$166=$A46)*('Monthly Occurrences (Support)'!$D$4:$D$166="Hybrid")*('Monthly Occurrences (Support)'!$I$4:$I$166))</f>
        <v>0</v>
      </c>
      <c r="E46" s="7">
        <f>SUMPRODUCT(('Monthly Occurrences (Support)'!$C$4:$C$166=$A46)*('Monthly Occurrences (Support)'!$D$4:$D$166="Hybrid")*('Monthly Occurrences (Support)'!$J$4:$J$166))</f>
        <v>0</v>
      </c>
      <c r="F46" s="7">
        <f>SUMPRODUCT(('Monthly Occurrences (Support)'!$C$4:$C$166=$A46)*('Monthly Occurrences (Support)'!$D$4:$D$166="Hybrid")*('Monthly Occurrences (Support)'!$K$4:$K$166))</f>
        <v>0</v>
      </c>
      <c r="G46" s="7">
        <f>SUMPRODUCT(('Monthly Occurrences (Support)'!$C$4:$C$166=$A46)*('Monthly Occurrences (Support)'!$D$4:$D$166="Hybrid")*('Monthly Occurrences (Support)'!$L$4:$L$166))</f>
        <v>0</v>
      </c>
      <c r="H46" s="7">
        <f>SUMPRODUCT(('Monthly Occurrences (Support)'!$C$4:$C$166=$A46)*('Monthly Occurrences (Support)'!$D$4:$D$166="Hybrid")*('Monthly Occurrences (Support)'!$M$4:$M$166))</f>
        <v>0</v>
      </c>
      <c r="I46" s="7">
        <f>SUMPRODUCT(('Monthly Occurrences (Support)'!$C$4:$C$166=$A46)*('Monthly Occurrences (Support)'!$D$4:$D$166="Hybrid")*('Monthly Occurrences (Support)'!$N$4:$N$166))</f>
        <v>0</v>
      </c>
      <c r="J46" s="7">
        <f>SUMPRODUCT(('Monthly Occurrences (Support)'!$C$4:$C$166=$A46)*('Monthly Occurrences (Support)'!$D$4:$D$166="Hybrid")*('Monthly Occurrences (Support)'!$O$4:$O$166))</f>
        <v>0</v>
      </c>
      <c r="K46" s="7">
        <f>SUMPRODUCT(('Monthly Occurrences (Support)'!$C$4:$C$166=$A46)*('Monthly Occurrences (Support)'!$D$4:$D$166="Hybrid")*('Monthly Occurrences (Support)'!$P$4:$P$166))</f>
        <v>0</v>
      </c>
      <c r="L46" s="7">
        <f>SUMPRODUCT(('Monthly Occurrences (Support)'!$C$4:$C$166=$A46)*('Monthly Occurrences (Support)'!$D$4:$D$166="Hybrid")*('Monthly Occurrences (Support)'!$Q$4:$Q$166))</f>
        <v>0</v>
      </c>
      <c r="M46" s="7">
        <f>SUMPRODUCT(('Monthly Occurrences (Support)'!$C$4:$C$166=$A46)*('Monthly Occurrences (Support)'!$D$4:$D$166="Hybrid")*('Monthly Occurrences (Support)'!$R$4:$R$166))</f>
        <v>0</v>
      </c>
      <c r="N46" s="7">
        <f>SUMPRODUCT(('Monthly Occurrences (Support)'!$C$4:$C$166=$A46)*('Monthly Occurrences (Support)'!$D$4:$D$166="Hybrid")*('Monthly Occurrences (Support)'!$S$4:$S$166))</f>
        <v>0</v>
      </c>
      <c r="O46" s="7">
        <f>SUMPRODUCT(('Monthly Occurrences (Support)'!$C$4:$C$166=$A46)*('Monthly Occurrences (Support)'!$D$4:$D$166="Hybrid")*('Monthly Occurrences (Support)'!$T$4:$T$166))</f>
        <v>0</v>
      </c>
      <c r="P46" s="7">
        <f>SUMPRODUCT(('Monthly Occurrences (Support)'!$C$4:$C$166=$A46)*('Monthly Occurrences (Support)'!$D$4:$D$166="Hybrid")*('Monthly Occurrences (Support)'!$U$4:$U$166))</f>
        <v>0</v>
      </c>
      <c r="Q46" s="7">
        <f>SUMPRODUCT(('Monthly Occurrences (Support)'!$C$4:$C$166=$A46)*('Monthly Occurrences (Support)'!$D$4:$D$166="Hybrid")*('Monthly Occurrences (Support)'!$V$4:$V$166))</f>
        <v>0</v>
      </c>
      <c r="R46" s="7">
        <f>SUMPRODUCT(('Monthly Occurrences (Support)'!$C$4:$C$166=$A46)*('Monthly Occurrences (Support)'!$D$4:$D$166="Hybrid")*('Monthly Occurrences (Support)'!$W$4:$W$166))</f>
        <v>0</v>
      </c>
      <c r="S46" s="7">
        <f>SUMPRODUCT(('Monthly Occurrences (Support)'!$C$4:$C$166=$A46)*('Monthly Occurrences (Support)'!$D$4:$D$166="Hybrid")*('Monthly Occurrences (Support)'!$X$4:$X$166))</f>
        <v>0</v>
      </c>
      <c r="T46" s="7">
        <f>SUMPRODUCT(('Monthly Occurrences (Support)'!$C$4:$C$166=$A46)*('Monthly Occurrences (Support)'!$D$4:$D$166="Hybrid")*('Monthly Occurrences (Support)'!$Y$4:$Y$166))</f>
        <v>0</v>
      </c>
      <c r="U46" s="7">
        <f>SUMPRODUCT(('Monthly Occurrences (Support)'!$C$4:$C$166=$A46)*('Monthly Occurrences (Support)'!$D$4:$D$166="Hybrid")*('Monthly Occurrences (Support)'!$Z$4:$Z$166))</f>
        <v>0</v>
      </c>
      <c r="V46" s="7">
        <f>SUMPRODUCT(('Monthly Occurrences (Support)'!$C$4:$C$166=$A46)*('Monthly Occurrences (Support)'!$D$4:$D$166="Hybrid")*('Monthly Occurrences (Support)'!$AA$4:$AA$166))</f>
        <v>0</v>
      </c>
      <c r="W46" s="7">
        <f>SUMPRODUCT(('Monthly Occurrences (Support)'!$C$4:$C$166=$A46)*('Monthly Occurrences (Support)'!$D$4:$D$166="Hybrid")*('Monthly Occurrences (Support)'!$AB$4:$AB$166))</f>
        <v>0</v>
      </c>
    </row>
    <row r="47" spans="1:23" x14ac:dyDescent="0.25">
      <c r="A47" s="15" t="s">
        <v>44</v>
      </c>
      <c r="B47" s="4">
        <f>SUMPRODUCT(('Monthly Occurrences (Support)'!$C$4:$C$166=$A47)*('Monthly Occurrences (Support)'!$D$4:$D$166="Hybrid")*('Monthly Occurrences (Support)'!$G$4:$G$166))</f>
        <v>0</v>
      </c>
      <c r="C47" s="4">
        <f>SUMPRODUCT(('Monthly Occurrences (Support)'!$C$4:$C$166=$A47)*('Monthly Occurrences (Support)'!$D$4:$D$166="Hybrid")*('Monthly Occurrences (Support)'!$H$4:$H$166))</f>
        <v>0</v>
      </c>
      <c r="D47" s="4">
        <f>SUMPRODUCT(('Monthly Occurrences (Support)'!$C$4:$C$166=$A47)*('Monthly Occurrences (Support)'!$D$4:$D$166="Hybrid")*('Monthly Occurrences (Support)'!$I$4:$I$166))</f>
        <v>0</v>
      </c>
      <c r="E47" s="4">
        <f>SUMPRODUCT(('Monthly Occurrences (Support)'!$C$4:$C$166=$A47)*('Monthly Occurrences (Support)'!$D$4:$D$166="Hybrid")*('Monthly Occurrences (Support)'!$J$4:$J$166))</f>
        <v>0</v>
      </c>
      <c r="F47" s="4">
        <f>SUMPRODUCT(('Monthly Occurrences (Support)'!$C$4:$C$166=$A47)*('Monthly Occurrences (Support)'!$D$4:$D$166="Hybrid")*('Monthly Occurrences (Support)'!$K$4:$K$166))</f>
        <v>0</v>
      </c>
      <c r="G47" s="4">
        <f>SUMPRODUCT(('Monthly Occurrences (Support)'!$C$4:$C$166=$A47)*('Monthly Occurrences (Support)'!$D$4:$D$166="Hybrid")*('Monthly Occurrences (Support)'!$L$4:$L$166))</f>
        <v>0</v>
      </c>
      <c r="H47" s="4">
        <f>SUMPRODUCT(('Monthly Occurrences (Support)'!$C$4:$C$166=$A47)*('Monthly Occurrences (Support)'!$D$4:$D$166="Hybrid")*('Monthly Occurrences (Support)'!$M$4:$M$166))</f>
        <v>0</v>
      </c>
      <c r="I47" s="4">
        <f>SUMPRODUCT(('Monthly Occurrences (Support)'!$C$4:$C$166=$A47)*('Monthly Occurrences (Support)'!$D$4:$D$166="Hybrid")*('Monthly Occurrences (Support)'!$N$4:$N$166))</f>
        <v>4</v>
      </c>
      <c r="J47" s="4">
        <f>SUMPRODUCT(('Monthly Occurrences (Support)'!$C$4:$C$166=$A47)*('Monthly Occurrences (Support)'!$D$4:$D$166="Hybrid")*('Monthly Occurrences (Support)'!$O$4:$O$166))</f>
        <v>4</v>
      </c>
      <c r="K47" s="4">
        <f>SUMPRODUCT(('Monthly Occurrences (Support)'!$C$4:$C$166=$A47)*('Monthly Occurrences (Support)'!$D$4:$D$166="Hybrid")*('Monthly Occurrences (Support)'!$P$4:$P$166))</f>
        <v>5</v>
      </c>
      <c r="L47" s="4">
        <f>SUMPRODUCT(('Monthly Occurrences (Support)'!$C$4:$C$166=$A47)*('Monthly Occurrences (Support)'!$D$4:$D$166="Hybrid")*('Monthly Occurrences (Support)'!$Q$4:$Q$166))</f>
        <v>2</v>
      </c>
      <c r="M47" s="4">
        <f>SUMPRODUCT(('Monthly Occurrences (Support)'!$C$4:$C$166=$A47)*('Monthly Occurrences (Support)'!$D$4:$D$166="Hybrid")*('Monthly Occurrences (Support)'!$R$4:$R$166))</f>
        <v>0</v>
      </c>
      <c r="N47" s="4">
        <f>SUMPRODUCT(('Monthly Occurrences (Support)'!$C$4:$C$166=$A47)*('Monthly Occurrences (Support)'!$D$4:$D$166="Hybrid")*('Monthly Occurrences (Support)'!$S$4:$S$166))</f>
        <v>0</v>
      </c>
      <c r="O47" s="4">
        <f>SUMPRODUCT(('Monthly Occurrences (Support)'!$C$4:$C$166=$A47)*('Monthly Occurrences (Support)'!$D$4:$D$166="Hybrid")*('Monthly Occurrences (Support)'!$T$4:$T$166))</f>
        <v>0</v>
      </c>
      <c r="P47" s="4">
        <f>SUMPRODUCT(('Monthly Occurrences (Support)'!$C$4:$C$166=$A47)*('Monthly Occurrences (Support)'!$D$4:$D$166="Hybrid")*('Monthly Occurrences (Support)'!$U$4:$U$166))</f>
        <v>0</v>
      </c>
      <c r="Q47" s="4">
        <f>SUMPRODUCT(('Monthly Occurrences (Support)'!$C$4:$C$166=$A47)*('Monthly Occurrences (Support)'!$D$4:$D$166="Hybrid")*('Monthly Occurrences (Support)'!$V$4:$V$166))</f>
        <v>0</v>
      </c>
      <c r="R47" s="4">
        <f>SUMPRODUCT(('Monthly Occurrences (Support)'!$C$4:$C$166=$A47)*('Monthly Occurrences (Support)'!$D$4:$D$166="Hybrid")*('Monthly Occurrences (Support)'!$W$4:$W$166))</f>
        <v>0</v>
      </c>
      <c r="S47" s="4">
        <f>SUMPRODUCT(('Monthly Occurrences (Support)'!$C$4:$C$166=$A47)*('Monthly Occurrences (Support)'!$D$4:$D$166="Hybrid")*('Monthly Occurrences (Support)'!$X$4:$X$166))</f>
        <v>0</v>
      </c>
      <c r="T47" s="4">
        <f>SUMPRODUCT(('Monthly Occurrences (Support)'!$C$4:$C$166=$A47)*('Monthly Occurrences (Support)'!$D$4:$D$166="Hybrid")*('Monthly Occurrences (Support)'!$Y$4:$Y$166))</f>
        <v>0</v>
      </c>
      <c r="U47" s="4">
        <f>SUMPRODUCT(('Monthly Occurrences (Support)'!$C$4:$C$166=$A47)*('Monthly Occurrences (Support)'!$D$4:$D$166="Hybrid")*('Monthly Occurrences (Support)'!$Z$4:$Z$166))</f>
        <v>0</v>
      </c>
      <c r="V47" s="4">
        <f>SUMPRODUCT(('Monthly Occurrences (Support)'!$C$4:$C$166=$A47)*('Monthly Occurrences (Support)'!$D$4:$D$166="Hybrid")*('Monthly Occurrences (Support)'!$AA$4:$AA$166))</f>
        <v>0</v>
      </c>
      <c r="W47" s="4">
        <f>SUMPRODUCT(('Monthly Occurrences (Support)'!$C$4:$C$166=$A47)*('Monthly Occurrences (Support)'!$D$4:$D$166="Hybrid")*('Monthly Occurrences (Support)'!$AB$4:$AB$166))</f>
        <v>0</v>
      </c>
    </row>
    <row r="48" spans="1:23" x14ac:dyDescent="0.25">
      <c r="A48" s="16" t="s">
        <v>45</v>
      </c>
      <c r="B48" s="7">
        <f>SUMPRODUCT(('Monthly Occurrences (Support)'!$C$4:$C$166=$A48)*('Monthly Occurrences (Support)'!$D$4:$D$166="Hybrid")*('Monthly Occurrences (Support)'!$G$4:$G$166))</f>
        <v>0</v>
      </c>
      <c r="C48" s="7">
        <f>SUMPRODUCT(('Monthly Occurrences (Support)'!$C$4:$C$166=$A48)*('Monthly Occurrences (Support)'!$D$4:$D$166="Hybrid")*('Monthly Occurrences (Support)'!$H$4:$H$166))</f>
        <v>0</v>
      </c>
      <c r="D48" s="7">
        <f>SUMPRODUCT(('Monthly Occurrences (Support)'!$C$4:$C$166=$A48)*('Monthly Occurrences (Support)'!$D$4:$D$166="Hybrid")*('Monthly Occurrences (Support)'!$I$4:$I$166))</f>
        <v>0</v>
      </c>
      <c r="E48" s="7">
        <f>SUMPRODUCT(('Monthly Occurrences (Support)'!$C$4:$C$166=$A48)*('Monthly Occurrences (Support)'!$D$4:$D$166="Hybrid")*('Monthly Occurrences (Support)'!$J$4:$J$166))</f>
        <v>0</v>
      </c>
      <c r="F48" s="7">
        <f>SUMPRODUCT(('Monthly Occurrences (Support)'!$C$4:$C$166=$A48)*('Monthly Occurrences (Support)'!$D$4:$D$166="Hybrid")*('Monthly Occurrences (Support)'!$K$4:$K$166))</f>
        <v>0</v>
      </c>
      <c r="G48" s="7">
        <f>SUMPRODUCT(('Monthly Occurrences (Support)'!$C$4:$C$166=$A48)*('Monthly Occurrences (Support)'!$D$4:$D$166="Hybrid")*('Monthly Occurrences (Support)'!$L$4:$L$166))</f>
        <v>0</v>
      </c>
      <c r="H48" s="7">
        <f>SUMPRODUCT(('Monthly Occurrences (Support)'!$C$4:$C$166=$A48)*('Monthly Occurrences (Support)'!$D$4:$D$166="Hybrid")*('Monthly Occurrences (Support)'!$M$4:$M$166))</f>
        <v>0</v>
      </c>
      <c r="I48" s="7">
        <f>SUMPRODUCT(('Monthly Occurrences (Support)'!$C$4:$C$166=$A48)*('Monthly Occurrences (Support)'!$D$4:$D$166="Hybrid")*('Monthly Occurrences (Support)'!$N$4:$N$166))</f>
        <v>4</v>
      </c>
      <c r="J48" s="7">
        <f>SUMPRODUCT(('Monthly Occurrences (Support)'!$C$4:$C$166=$A48)*('Monthly Occurrences (Support)'!$D$4:$D$166="Hybrid")*('Monthly Occurrences (Support)'!$O$4:$O$166))</f>
        <v>4</v>
      </c>
      <c r="K48" s="7">
        <f>SUMPRODUCT(('Monthly Occurrences (Support)'!$C$4:$C$166=$A48)*('Monthly Occurrences (Support)'!$D$4:$D$166="Hybrid")*('Monthly Occurrences (Support)'!$P$4:$P$166))</f>
        <v>5</v>
      </c>
      <c r="L48" s="7">
        <f>SUMPRODUCT(('Monthly Occurrences (Support)'!$C$4:$C$166=$A48)*('Monthly Occurrences (Support)'!$D$4:$D$166="Hybrid")*('Monthly Occurrences (Support)'!$Q$4:$Q$166))</f>
        <v>2</v>
      </c>
      <c r="M48" s="7">
        <f>SUMPRODUCT(('Monthly Occurrences (Support)'!$C$4:$C$166=$A48)*('Monthly Occurrences (Support)'!$D$4:$D$166="Hybrid")*('Monthly Occurrences (Support)'!$R$4:$R$166))</f>
        <v>0</v>
      </c>
      <c r="N48" s="7">
        <f>SUMPRODUCT(('Monthly Occurrences (Support)'!$C$4:$C$166=$A48)*('Monthly Occurrences (Support)'!$D$4:$D$166="Hybrid")*('Monthly Occurrences (Support)'!$S$4:$S$166))</f>
        <v>0</v>
      </c>
      <c r="O48" s="7">
        <f>SUMPRODUCT(('Monthly Occurrences (Support)'!$C$4:$C$166=$A48)*('Monthly Occurrences (Support)'!$D$4:$D$166="Hybrid")*('Monthly Occurrences (Support)'!$T$4:$T$166))</f>
        <v>0</v>
      </c>
      <c r="P48" s="7">
        <f>SUMPRODUCT(('Monthly Occurrences (Support)'!$C$4:$C$166=$A48)*('Monthly Occurrences (Support)'!$D$4:$D$166="Hybrid")*('Monthly Occurrences (Support)'!$U$4:$U$166))</f>
        <v>0</v>
      </c>
      <c r="Q48" s="7">
        <f>SUMPRODUCT(('Monthly Occurrences (Support)'!$C$4:$C$166=$A48)*('Monthly Occurrences (Support)'!$D$4:$D$166="Hybrid")*('Monthly Occurrences (Support)'!$V$4:$V$166))</f>
        <v>0</v>
      </c>
      <c r="R48" s="7">
        <f>SUMPRODUCT(('Monthly Occurrences (Support)'!$C$4:$C$166=$A48)*('Monthly Occurrences (Support)'!$D$4:$D$166="Hybrid")*('Monthly Occurrences (Support)'!$W$4:$W$166))</f>
        <v>0</v>
      </c>
      <c r="S48" s="7">
        <f>SUMPRODUCT(('Monthly Occurrences (Support)'!$C$4:$C$166=$A48)*('Monthly Occurrences (Support)'!$D$4:$D$166="Hybrid")*('Monthly Occurrences (Support)'!$X$4:$X$166))</f>
        <v>0</v>
      </c>
      <c r="T48" s="7">
        <f>SUMPRODUCT(('Monthly Occurrences (Support)'!$C$4:$C$166=$A48)*('Monthly Occurrences (Support)'!$D$4:$D$166="Hybrid")*('Monthly Occurrences (Support)'!$Y$4:$Y$166))</f>
        <v>0</v>
      </c>
      <c r="U48" s="7">
        <f>SUMPRODUCT(('Monthly Occurrences (Support)'!$C$4:$C$166=$A48)*('Monthly Occurrences (Support)'!$D$4:$D$166="Hybrid")*('Monthly Occurrences (Support)'!$Z$4:$Z$166))</f>
        <v>0</v>
      </c>
      <c r="V48" s="7">
        <f>SUMPRODUCT(('Monthly Occurrences (Support)'!$C$4:$C$166=$A48)*('Monthly Occurrences (Support)'!$D$4:$D$166="Hybrid")*('Monthly Occurrences (Support)'!$AA$4:$AA$166))</f>
        <v>0</v>
      </c>
      <c r="W48" s="7">
        <f>SUMPRODUCT(('Monthly Occurrences (Support)'!$C$4:$C$166=$A48)*('Monthly Occurrences (Support)'!$D$4:$D$166="Hybrid")*('Monthly Occurrences (Support)'!$AB$4:$AB$166))</f>
        <v>0</v>
      </c>
    </row>
    <row r="49" spans="1:23" x14ac:dyDescent="0.25">
      <c r="A49" s="15" t="s">
        <v>46</v>
      </c>
      <c r="B49" s="4">
        <f>SUMPRODUCT(('Monthly Occurrences (Support)'!$C$4:$C$166=$A49)*('Monthly Occurrences (Support)'!$D$4:$D$166="Hybrid")*('Monthly Occurrences (Support)'!$G$4:$G$166))</f>
        <v>0</v>
      </c>
      <c r="C49" s="4">
        <f>SUMPRODUCT(('Monthly Occurrences (Support)'!$C$4:$C$166=$A49)*('Monthly Occurrences (Support)'!$D$4:$D$166="Hybrid")*('Monthly Occurrences (Support)'!$H$4:$H$166))</f>
        <v>0</v>
      </c>
      <c r="D49" s="4">
        <f>SUMPRODUCT(('Monthly Occurrences (Support)'!$C$4:$C$166=$A49)*('Monthly Occurrences (Support)'!$D$4:$D$166="Hybrid")*('Monthly Occurrences (Support)'!$I$4:$I$166))</f>
        <v>0</v>
      </c>
      <c r="E49" s="4">
        <f>SUMPRODUCT(('Monthly Occurrences (Support)'!$C$4:$C$166=$A49)*('Monthly Occurrences (Support)'!$D$4:$D$166="Hybrid")*('Monthly Occurrences (Support)'!$J$4:$J$166))</f>
        <v>0</v>
      </c>
      <c r="F49" s="4">
        <f>SUMPRODUCT(('Monthly Occurrences (Support)'!$C$4:$C$166=$A49)*('Monthly Occurrences (Support)'!$D$4:$D$166="Hybrid")*('Monthly Occurrences (Support)'!$K$4:$K$166))</f>
        <v>0</v>
      </c>
      <c r="G49" s="4">
        <f>SUMPRODUCT(('Monthly Occurrences (Support)'!$C$4:$C$166=$A49)*('Monthly Occurrences (Support)'!$D$4:$D$166="Hybrid")*('Monthly Occurrences (Support)'!$L$4:$L$166))</f>
        <v>0</v>
      </c>
      <c r="H49" s="4">
        <f>SUMPRODUCT(('Monthly Occurrences (Support)'!$C$4:$C$166=$A49)*('Monthly Occurrences (Support)'!$D$4:$D$166="Hybrid")*('Monthly Occurrences (Support)'!$M$4:$M$166))</f>
        <v>0</v>
      </c>
      <c r="I49" s="4">
        <f>SUMPRODUCT(('Monthly Occurrences (Support)'!$C$4:$C$166=$A49)*('Monthly Occurrences (Support)'!$D$4:$D$166="Hybrid")*('Monthly Occurrences (Support)'!$N$4:$N$166))</f>
        <v>8</v>
      </c>
      <c r="J49" s="4">
        <f>SUMPRODUCT(('Monthly Occurrences (Support)'!$C$4:$C$166=$A49)*('Monthly Occurrences (Support)'!$D$4:$D$166="Hybrid")*('Monthly Occurrences (Support)'!$O$4:$O$166))</f>
        <v>8</v>
      </c>
      <c r="K49" s="4">
        <f>SUMPRODUCT(('Monthly Occurrences (Support)'!$C$4:$C$166=$A49)*('Monthly Occurrences (Support)'!$D$4:$D$166="Hybrid")*('Monthly Occurrences (Support)'!$P$4:$P$166))</f>
        <v>10</v>
      </c>
      <c r="L49" s="4">
        <f>SUMPRODUCT(('Monthly Occurrences (Support)'!$C$4:$C$166=$A49)*('Monthly Occurrences (Support)'!$D$4:$D$166="Hybrid")*('Monthly Occurrences (Support)'!$Q$4:$Q$166))</f>
        <v>4</v>
      </c>
      <c r="M49" s="4">
        <f>SUMPRODUCT(('Monthly Occurrences (Support)'!$C$4:$C$166=$A49)*('Monthly Occurrences (Support)'!$D$4:$D$166="Hybrid")*('Monthly Occurrences (Support)'!$R$4:$R$166))</f>
        <v>0</v>
      </c>
      <c r="N49" s="4">
        <f>SUMPRODUCT(('Monthly Occurrences (Support)'!$C$4:$C$166=$A49)*('Monthly Occurrences (Support)'!$D$4:$D$166="Hybrid")*('Monthly Occurrences (Support)'!$S$4:$S$166))</f>
        <v>0</v>
      </c>
      <c r="O49" s="4">
        <f>SUMPRODUCT(('Monthly Occurrences (Support)'!$C$4:$C$166=$A49)*('Monthly Occurrences (Support)'!$D$4:$D$166="Hybrid")*('Monthly Occurrences (Support)'!$T$4:$T$166))</f>
        <v>0</v>
      </c>
      <c r="P49" s="4">
        <f>SUMPRODUCT(('Monthly Occurrences (Support)'!$C$4:$C$166=$A49)*('Monthly Occurrences (Support)'!$D$4:$D$166="Hybrid")*('Monthly Occurrences (Support)'!$U$4:$U$166))</f>
        <v>0</v>
      </c>
      <c r="Q49" s="4">
        <f>SUMPRODUCT(('Monthly Occurrences (Support)'!$C$4:$C$166=$A49)*('Monthly Occurrences (Support)'!$D$4:$D$166="Hybrid")*('Monthly Occurrences (Support)'!$V$4:$V$166))</f>
        <v>0</v>
      </c>
      <c r="R49" s="4">
        <f>SUMPRODUCT(('Monthly Occurrences (Support)'!$C$4:$C$166=$A49)*('Monthly Occurrences (Support)'!$D$4:$D$166="Hybrid")*('Monthly Occurrences (Support)'!$W$4:$W$166))</f>
        <v>0</v>
      </c>
      <c r="S49" s="4">
        <f>SUMPRODUCT(('Monthly Occurrences (Support)'!$C$4:$C$166=$A49)*('Monthly Occurrences (Support)'!$D$4:$D$166="Hybrid")*('Monthly Occurrences (Support)'!$X$4:$X$166))</f>
        <v>0</v>
      </c>
      <c r="T49" s="4">
        <f>SUMPRODUCT(('Monthly Occurrences (Support)'!$C$4:$C$166=$A49)*('Monthly Occurrences (Support)'!$D$4:$D$166="Hybrid")*('Monthly Occurrences (Support)'!$Y$4:$Y$166))</f>
        <v>0</v>
      </c>
      <c r="U49" s="4">
        <f>SUMPRODUCT(('Monthly Occurrences (Support)'!$C$4:$C$166=$A49)*('Monthly Occurrences (Support)'!$D$4:$D$166="Hybrid")*('Monthly Occurrences (Support)'!$Z$4:$Z$166))</f>
        <v>0</v>
      </c>
      <c r="V49" s="4">
        <f>SUMPRODUCT(('Monthly Occurrences (Support)'!$C$4:$C$166=$A49)*('Monthly Occurrences (Support)'!$D$4:$D$166="Hybrid")*('Monthly Occurrences (Support)'!$AA$4:$AA$166))</f>
        <v>0</v>
      </c>
      <c r="W49" s="4">
        <f>SUMPRODUCT(('Monthly Occurrences (Support)'!$C$4:$C$166=$A49)*('Monthly Occurrences (Support)'!$D$4:$D$166="Hybrid")*('Monthly Occurrences (Support)'!$AB$4:$AB$166))</f>
        <v>0</v>
      </c>
    </row>
    <row r="50" spans="1:23" x14ac:dyDescent="0.25">
      <c r="A50" s="16" t="s">
        <v>47</v>
      </c>
      <c r="B50" s="7">
        <f>SUMPRODUCT(('Monthly Occurrences (Support)'!$C$4:$C$166=$A50)*('Monthly Occurrences (Support)'!$D$4:$D$166="Hybrid")*('Monthly Occurrences (Support)'!$G$4:$G$166))</f>
        <v>0</v>
      </c>
      <c r="C50" s="7">
        <f>SUMPRODUCT(('Monthly Occurrences (Support)'!$C$4:$C$166=$A50)*('Monthly Occurrences (Support)'!$D$4:$D$166="Hybrid")*('Monthly Occurrences (Support)'!$H$4:$H$166))</f>
        <v>0</v>
      </c>
      <c r="D50" s="7">
        <f>SUMPRODUCT(('Monthly Occurrences (Support)'!$C$4:$C$166=$A50)*('Monthly Occurrences (Support)'!$D$4:$D$166="Hybrid")*('Monthly Occurrences (Support)'!$I$4:$I$166))</f>
        <v>0</v>
      </c>
      <c r="E50" s="7">
        <f>SUMPRODUCT(('Monthly Occurrences (Support)'!$C$4:$C$166=$A50)*('Monthly Occurrences (Support)'!$D$4:$D$166="Hybrid")*('Monthly Occurrences (Support)'!$J$4:$J$166))</f>
        <v>0</v>
      </c>
      <c r="F50" s="7">
        <f>SUMPRODUCT(('Monthly Occurrences (Support)'!$C$4:$C$166=$A50)*('Monthly Occurrences (Support)'!$D$4:$D$166="Hybrid")*('Monthly Occurrences (Support)'!$K$4:$K$166))</f>
        <v>0</v>
      </c>
      <c r="G50" s="7">
        <f>SUMPRODUCT(('Monthly Occurrences (Support)'!$C$4:$C$166=$A50)*('Monthly Occurrences (Support)'!$D$4:$D$166="Hybrid")*('Monthly Occurrences (Support)'!$L$4:$L$166))</f>
        <v>0</v>
      </c>
      <c r="H50" s="7">
        <f>SUMPRODUCT(('Monthly Occurrences (Support)'!$C$4:$C$166=$A50)*('Monthly Occurrences (Support)'!$D$4:$D$166="Hybrid")*('Monthly Occurrences (Support)'!$M$4:$M$166))</f>
        <v>0</v>
      </c>
      <c r="I50" s="7">
        <f>SUMPRODUCT(('Monthly Occurrences (Support)'!$C$4:$C$166=$A50)*('Monthly Occurrences (Support)'!$D$4:$D$166="Hybrid")*('Monthly Occurrences (Support)'!$N$4:$N$166))</f>
        <v>0</v>
      </c>
      <c r="J50" s="7">
        <f>SUMPRODUCT(('Monthly Occurrences (Support)'!$C$4:$C$166=$A50)*('Monthly Occurrences (Support)'!$D$4:$D$166="Hybrid")*('Monthly Occurrences (Support)'!$O$4:$O$166))</f>
        <v>0</v>
      </c>
      <c r="K50" s="7">
        <f>SUMPRODUCT(('Monthly Occurrences (Support)'!$C$4:$C$166=$A50)*('Monthly Occurrences (Support)'!$D$4:$D$166="Hybrid")*('Monthly Occurrences (Support)'!$P$4:$P$166))</f>
        <v>0</v>
      </c>
      <c r="L50" s="7">
        <f>SUMPRODUCT(('Monthly Occurrences (Support)'!$C$4:$C$166=$A50)*('Monthly Occurrences (Support)'!$D$4:$D$166="Hybrid")*('Monthly Occurrences (Support)'!$Q$4:$Q$166))</f>
        <v>0</v>
      </c>
      <c r="M50" s="7">
        <f>SUMPRODUCT(('Monthly Occurrences (Support)'!$C$4:$C$166=$A50)*('Monthly Occurrences (Support)'!$D$4:$D$166="Hybrid")*('Monthly Occurrences (Support)'!$R$4:$R$166))</f>
        <v>0</v>
      </c>
      <c r="N50" s="7">
        <f>SUMPRODUCT(('Monthly Occurrences (Support)'!$C$4:$C$166=$A50)*('Monthly Occurrences (Support)'!$D$4:$D$166="Hybrid")*('Monthly Occurrences (Support)'!$S$4:$S$166))</f>
        <v>0</v>
      </c>
      <c r="O50" s="7">
        <f>SUMPRODUCT(('Monthly Occurrences (Support)'!$C$4:$C$166=$A50)*('Monthly Occurrences (Support)'!$D$4:$D$166="Hybrid")*('Monthly Occurrences (Support)'!$T$4:$T$166))</f>
        <v>0</v>
      </c>
      <c r="P50" s="7">
        <f>SUMPRODUCT(('Monthly Occurrences (Support)'!$C$4:$C$166=$A50)*('Monthly Occurrences (Support)'!$D$4:$D$166="Hybrid")*('Monthly Occurrences (Support)'!$U$4:$U$166))</f>
        <v>0</v>
      </c>
      <c r="Q50" s="7">
        <f>SUMPRODUCT(('Monthly Occurrences (Support)'!$C$4:$C$166=$A50)*('Monthly Occurrences (Support)'!$D$4:$D$166="Hybrid")*('Monthly Occurrences (Support)'!$V$4:$V$166))</f>
        <v>0</v>
      </c>
      <c r="R50" s="7">
        <f>SUMPRODUCT(('Monthly Occurrences (Support)'!$C$4:$C$166=$A50)*('Monthly Occurrences (Support)'!$D$4:$D$166="Hybrid")*('Monthly Occurrences (Support)'!$W$4:$W$166))</f>
        <v>0</v>
      </c>
      <c r="S50" s="7">
        <f>SUMPRODUCT(('Monthly Occurrences (Support)'!$C$4:$C$166=$A50)*('Monthly Occurrences (Support)'!$D$4:$D$166="Hybrid")*('Monthly Occurrences (Support)'!$X$4:$X$166))</f>
        <v>0</v>
      </c>
      <c r="T50" s="7">
        <f>SUMPRODUCT(('Monthly Occurrences (Support)'!$C$4:$C$166=$A50)*('Monthly Occurrences (Support)'!$D$4:$D$166="Hybrid")*('Monthly Occurrences (Support)'!$Y$4:$Y$166))</f>
        <v>0</v>
      </c>
      <c r="U50" s="7">
        <f>SUMPRODUCT(('Monthly Occurrences (Support)'!$C$4:$C$166=$A50)*('Monthly Occurrences (Support)'!$D$4:$D$166="Hybrid")*('Monthly Occurrences (Support)'!$Z$4:$Z$166))</f>
        <v>0</v>
      </c>
      <c r="V50" s="7">
        <f>SUMPRODUCT(('Monthly Occurrences (Support)'!$C$4:$C$166=$A50)*('Monthly Occurrences (Support)'!$D$4:$D$166="Hybrid")*('Monthly Occurrences (Support)'!$AA$4:$AA$166))</f>
        <v>0</v>
      </c>
      <c r="W50" s="7">
        <f>SUMPRODUCT(('Monthly Occurrences (Support)'!$C$4:$C$166=$A50)*('Monthly Occurrences (Support)'!$D$4:$D$166="Hybrid")*('Monthly Occurrences (Support)'!$AB$4:$AB$166))</f>
        <v>0</v>
      </c>
    </row>
    <row r="51" spans="1:23" x14ac:dyDescent="0.25">
      <c r="A51" s="15" t="s">
        <v>48</v>
      </c>
      <c r="B51" s="4">
        <f>SUMPRODUCT(('Monthly Occurrences (Support)'!$C$4:$C$166=$A51)*('Monthly Occurrences (Support)'!$D$4:$D$166="Hybrid")*('Monthly Occurrences (Support)'!$G$4:$G$166))</f>
        <v>0</v>
      </c>
      <c r="C51" s="4">
        <f>SUMPRODUCT(('Monthly Occurrences (Support)'!$C$4:$C$166=$A51)*('Monthly Occurrences (Support)'!$D$4:$D$166="Hybrid")*('Monthly Occurrences (Support)'!$H$4:$H$166))</f>
        <v>0</v>
      </c>
      <c r="D51" s="4">
        <f>SUMPRODUCT(('Monthly Occurrences (Support)'!$C$4:$C$166=$A51)*('Monthly Occurrences (Support)'!$D$4:$D$166="Hybrid")*('Monthly Occurrences (Support)'!$I$4:$I$166))</f>
        <v>0</v>
      </c>
      <c r="E51" s="4">
        <f>SUMPRODUCT(('Monthly Occurrences (Support)'!$C$4:$C$166=$A51)*('Monthly Occurrences (Support)'!$D$4:$D$166="Hybrid")*('Monthly Occurrences (Support)'!$J$4:$J$166))</f>
        <v>0</v>
      </c>
      <c r="F51" s="4">
        <f>SUMPRODUCT(('Monthly Occurrences (Support)'!$C$4:$C$166=$A51)*('Monthly Occurrences (Support)'!$D$4:$D$166="Hybrid")*('Monthly Occurrences (Support)'!$K$4:$K$166))</f>
        <v>0</v>
      </c>
      <c r="G51" s="4">
        <f>SUMPRODUCT(('Monthly Occurrences (Support)'!$C$4:$C$166=$A51)*('Monthly Occurrences (Support)'!$D$4:$D$166="Hybrid")*('Monthly Occurrences (Support)'!$L$4:$L$166))</f>
        <v>4</v>
      </c>
      <c r="H51" s="4">
        <f>SUMPRODUCT(('Monthly Occurrences (Support)'!$C$4:$C$166=$A51)*('Monthly Occurrences (Support)'!$D$4:$D$166="Hybrid")*('Monthly Occurrences (Support)'!$M$4:$M$166))</f>
        <v>8</v>
      </c>
      <c r="I51" s="4">
        <f>SUMPRODUCT(('Monthly Occurrences (Support)'!$C$4:$C$166=$A51)*('Monthly Occurrences (Support)'!$D$4:$D$166="Hybrid")*('Monthly Occurrences (Support)'!$N$4:$N$166))</f>
        <v>9</v>
      </c>
      <c r="J51" s="4">
        <f>SUMPRODUCT(('Monthly Occurrences (Support)'!$C$4:$C$166=$A51)*('Monthly Occurrences (Support)'!$D$4:$D$166="Hybrid")*('Monthly Occurrences (Support)'!$O$4:$O$166))</f>
        <v>8</v>
      </c>
      <c r="K51" s="4">
        <f>SUMPRODUCT(('Monthly Occurrences (Support)'!$C$4:$C$166=$A51)*('Monthly Occurrences (Support)'!$D$4:$D$166="Hybrid")*('Monthly Occurrences (Support)'!$P$4:$P$166))</f>
        <v>7</v>
      </c>
      <c r="L51" s="4">
        <f>SUMPRODUCT(('Monthly Occurrences (Support)'!$C$4:$C$166=$A51)*('Monthly Occurrences (Support)'!$D$4:$D$166="Hybrid")*('Monthly Occurrences (Support)'!$Q$4:$Q$166))</f>
        <v>3</v>
      </c>
      <c r="M51" s="4">
        <f>SUMPRODUCT(('Monthly Occurrences (Support)'!$C$4:$C$166=$A51)*('Monthly Occurrences (Support)'!$D$4:$D$166="Hybrid")*('Monthly Occurrences (Support)'!$R$4:$R$166))</f>
        <v>0</v>
      </c>
      <c r="N51" s="4">
        <f>SUMPRODUCT(('Monthly Occurrences (Support)'!$C$4:$C$166=$A51)*('Monthly Occurrences (Support)'!$D$4:$D$166="Hybrid")*('Monthly Occurrences (Support)'!$S$4:$S$166))</f>
        <v>0</v>
      </c>
      <c r="O51" s="4">
        <f>SUMPRODUCT(('Monthly Occurrences (Support)'!$C$4:$C$166=$A51)*('Monthly Occurrences (Support)'!$D$4:$D$166="Hybrid")*('Monthly Occurrences (Support)'!$T$4:$T$166))</f>
        <v>0</v>
      </c>
      <c r="P51" s="4">
        <f>SUMPRODUCT(('Monthly Occurrences (Support)'!$C$4:$C$166=$A51)*('Monthly Occurrences (Support)'!$D$4:$D$166="Hybrid")*('Monthly Occurrences (Support)'!$U$4:$U$166))</f>
        <v>0</v>
      </c>
      <c r="Q51" s="4">
        <f>SUMPRODUCT(('Monthly Occurrences (Support)'!$C$4:$C$166=$A51)*('Monthly Occurrences (Support)'!$D$4:$D$166="Hybrid")*('Monthly Occurrences (Support)'!$V$4:$V$166))</f>
        <v>0</v>
      </c>
      <c r="R51" s="4">
        <f>SUMPRODUCT(('Monthly Occurrences (Support)'!$C$4:$C$166=$A51)*('Monthly Occurrences (Support)'!$D$4:$D$166="Hybrid")*('Monthly Occurrences (Support)'!$W$4:$W$166))</f>
        <v>0</v>
      </c>
      <c r="S51" s="4">
        <f>SUMPRODUCT(('Monthly Occurrences (Support)'!$C$4:$C$166=$A51)*('Monthly Occurrences (Support)'!$D$4:$D$166="Hybrid")*('Monthly Occurrences (Support)'!$X$4:$X$166))</f>
        <v>0</v>
      </c>
      <c r="T51" s="4">
        <f>SUMPRODUCT(('Monthly Occurrences (Support)'!$C$4:$C$166=$A51)*('Monthly Occurrences (Support)'!$D$4:$D$166="Hybrid")*('Monthly Occurrences (Support)'!$Y$4:$Y$166))</f>
        <v>0</v>
      </c>
      <c r="U51" s="4">
        <f>SUMPRODUCT(('Monthly Occurrences (Support)'!$C$4:$C$166=$A51)*('Monthly Occurrences (Support)'!$D$4:$D$166="Hybrid")*('Monthly Occurrences (Support)'!$Z$4:$Z$166))</f>
        <v>0</v>
      </c>
      <c r="V51" s="4">
        <f>SUMPRODUCT(('Monthly Occurrences (Support)'!$C$4:$C$166=$A51)*('Monthly Occurrences (Support)'!$D$4:$D$166="Hybrid")*('Monthly Occurrences (Support)'!$AA$4:$AA$166))</f>
        <v>0</v>
      </c>
      <c r="W51" s="4">
        <f>SUMPRODUCT(('Monthly Occurrences (Support)'!$C$4:$C$166=$A51)*('Monthly Occurrences (Support)'!$D$4:$D$166="Hybrid")*('Monthly Occurrences (Support)'!$AB$4:$AB$166))</f>
        <v>0</v>
      </c>
    </row>
    <row r="52" spans="1:23" x14ac:dyDescent="0.25">
      <c r="A52" s="16" t="s">
        <v>49</v>
      </c>
      <c r="B52" s="7">
        <f>SUMPRODUCT(('Monthly Occurrences (Support)'!$C$4:$C$166=$A52)*('Monthly Occurrences (Support)'!$D$4:$D$166="Hybrid")*('Monthly Occurrences (Support)'!$G$4:$G$166))</f>
        <v>0</v>
      </c>
      <c r="C52" s="7">
        <f>SUMPRODUCT(('Monthly Occurrences (Support)'!$C$4:$C$166=$A52)*('Monthly Occurrences (Support)'!$D$4:$D$166="Hybrid")*('Monthly Occurrences (Support)'!$H$4:$H$166))</f>
        <v>0</v>
      </c>
      <c r="D52" s="7">
        <f>SUMPRODUCT(('Monthly Occurrences (Support)'!$C$4:$C$166=$A52)*('Monthly Occurrences (Support)'!$D$4:$D$166="Hybrid")*('Monthly Occurrences (Support)'!$I$4:$I$166))</f>
        <v>0</v>
      </c>
      <c r="E52" s="7">
        <f>SUMPRODUCT(('Monthly Occurrences (Support)'!$C$4:$C$166=$A52)*('Monthly Occurrences (Support)'!$D$4:$D$166="Hybrid")*('Monthly Occurrences (Support)'!$J$4:$J$166))</f>
        <v>0</v>
      </c>
      <c r="F52" s="7">
        <f>SUMPRODUCT(('Monthly Occurrences (Support)'!$C$4:$C$166=$A52)*('Monthly Occurrences (Support)'!$D$4:$D$166="Hybrid")*('Monthly Occurrences (Support)'!$K$4:$K$166))</f>
        <v>0</v>
      </c>
      <c r="G52" s="7">
        <f>SUMPRODUCT(('Monthly Occurrences (Support)'!$C$4:$C$166=$A52)*('Monthly Occurrences (Support)'!$D$4:$D$166="Hybrid")*('Monthly Occurrences (Support)'!$L$4:$L$166))</f>
        <v>0</v>
      </c>
      <c r="H52" s="7">
        <f>SUMPRODUCT(('Monthly Occurrences (Support)'!$C$4:$C$166=$A52)*('Monthly Occurrences (Support)'!$D$4:$D$166="Hybrid")*('Monthly Occurrences (Support)'!$M$4:$M$166))</f>
        <v>0</v>
      </c>
      <c r="I52" s="7">
        <f>SUMPRODUCT(('Monthly Occurrences (Support)'!$C$4:$C$166=$A52)*('Monthly Occurrences (Support)'!$D$4:$D$166="Hybrid")*('Monthly Occurrences (Support)'!$N$4:$N$166))</f>
        <v>0</v>
      </c>
      <c r="J52" s="7">
        <f>SUMPRODUCT(('Monthly Occurrences (Support)'!$C$4:$C$166=$A52)*('Monthly Occurrences (Support)'!$D$4:$D$166="Hybrid")*('Monthly Occurrences (Support)'!$O$4:$O$166))</f>
        <v>0</v>
      </c>
      <c r="K52" s="7">
        <f>SUMPRODUCT(('Monthly Occurrences (Support)'!$C$4:$C$166=$A52)*('Monthly Occurrences (Support)'!$D$4:$D$166="Hybrid")*('Monthly Occurrences (Support)'!$P$4:$P$166))</f>
        <v>0</v>
      </c>
      <c r="L52" s="7">
        <f>SUMPRODUCT(('Monthly Occurrences (Support)'!$C$4:$C$166=$A52)*('Monthly Occurrences (Support)'!$D$4:$D$166="Hybrid")*('Monthly Occurrences (Support)'!$Q$4:$Q$166))</f>
        <v>0</v>
      </c>
      <c r="M52" s="7">
        <f>SUMPRODUCT(('Monthly Occurrences (Support)'!$C$4:$C$166=$A52)*('Monthly Occurrences (Support)'!$D$4:$D$166="Hybrid")*('Monthly Occurrences (Support)'!$R$4:$R$166))</f>
        <v>0</v>
      </c>
      <c r="N52" s="7">
        <f>SUMPRODUCT(('Monthly Occurrences (Support)'!$C$4:$C$166=$A52)*('Monthly Occurrences (Support)'!$D$4:$D$166="Hybrid")*('Monthly Occurrences (Support)'!$S$4:$S$166))</f>
        <v>0</v>
      </c>
      <c r="O52" s="7">
        <f>SUMPRODUCT(('Monthly Occurrences (Support)'!$C$4:$C$166=$A52)*('Monthly Occurrences (Support)'!$D$4:$D$166="Hybrid")*('Monthly Occurrences (Support)'!$T$4:$T$166))</f>
        <v>0</v>
      </c>
      <c r="P52" s="7">
        <f>SUMPRODUCT(('Monthly Occurrences (Support)'!$C$4:$C$166=$A52)*('Monthly Occurrences (Support)'!$D$4:$D$166="Hybrid")*('Monthly Occurrences (Support)'!$U$4:$U$166))</f>
        <v>0</v>
      </c>
      <c r="Q52" s="7">
        <f>SUMPRODUCT(('Monthly Occurrences (Support)'!$C$4:$C$166=$A52)*('Monthly Occurrences (Support)'!$D$4:$D$166="Hybrid")*('Monthly Occurrences (Support)'!$V$4:$V$166))</f>
        <v>0</v>
      </c>
      <c r="R52" s="7">
        <f>SUMPRODUCT(('Monthly Occurrences (Support)'!$C$4:$C$166=$A52)*('Monthly Occurrences (Support)'!$D$4:$D$166="Hybrid")*('Monthly Occurrences (Support)'!$W$4:$W$166))</f>
        <v>0</v>
      </c>
      <c r="S52" s="7">
        <f>SUMPRODUCT(('Monthly Occurrences (Support)'!$C$4:$C$166=$A52)*('Monthly Occurrences (Support)'!$D$4:$D$166="Hybrid")*('Monthly Occurrences (Support)'!$X$4:$X$166))</f>
        <v>0</v>
      </c>
      <c r="T52" s="7">
        <f>SUMPRODUCT(('Monthly Occurrences (Support)'!$C$4:$C$166=$A52)*('Monthly Occurrences (Support)'!$D$4:$D$166="Hybrid")*('Monthly Occurrences (Support)'!$Y$4:$Y$166))</f>
        <v>0</v>
      </c>
      <c r="U52" s="7">
        <f>SUMPRODUCT(('Monthly Occurrences (Support)'!$C$4:$C$166=$A52)*('Monthly Occurrences (Support)'!$D$4:$D$166="Hybrid")*('Monthly Occurrences (Support)'!$Z$4:$Z$166))</f>
        <v>0</v>
      </c>
      <c r="V52" s="7">
        <f>SUMPRODUCT(('Monthly Occurrences (Support)'!$C$4:$C$166=$A52)*('Monthly Occurrences (Support)'!$D$4:$D$166="Hybrid")*('Monthly Occurrences (Support)'!$AA$4:$AA$166))</f>
        <v>0</v>
      </c>
      <c r="W52" s="7">
        <f>SUMPRODUCT(('Monthly Occurrences (Support)'!$C$4:$C$166=$A52)*('Monthly Occurrences (Support)'!$D$4:$D$166="Hybrid")*('Monthly Occurrences (Support)'!$AB$4:$AB$166))</f>
        <v>0</v>
      </c>
    </row>
    <row r="53" spans="1:23" x14ac:dyDescent="0.25">
      <c r="A53" s="15" t="s">
        <v>50</v>
      </c>
      <c r="B53" s="4">
        <f>SUMPRODUCT(('Monthly Occurrences (Support)'!$C$4:$C$166=$A53)*('Monthly Occurrences (Support)'!$D$4:$D$166="Hybrid")*('Monthly Occurrences (Support)'!$G$4:$G$166))</f>
        <v>0</v>
      </c>
      <c r="C53" s="4">
        <f>SUMPRODUCT(('Monthly Occurrences (Support)'!$C$4:$C$166=$A53)*('Monthly Occurrences (Support)'!$D$4:$D$166="Hybrid")*('Monthly Occurrences (Support)'!$H$4:$H$166))</f>
        <v>0</v>
      </c>
      <c r="D53" s="4">
        <f>SUMPRODUCT(('Monthly Occurrences (Support)'!$C$4:$C$166=$A53)*('Monthly Occurrences (Support)'!$D$4:$D$166="Hybrid")*('Monthly Occurrences (Support)'!$I$4:$I$166))</f>
        <v>0</v>
      </c>
      <c r="E53" s="4">
        <f>SUMPRODUCT(('Monthly Occurrences (Support)'!$C$4:$C$166=$A53)*('Monthly Occurrences (Support)'!$D$4:$D$166="Hybrid")*('Monthly Occurrences (Support)'!$J$4:$J$166))</f>
        <v>0</v>
      </c>
      <c r="F53" s="4">
        <f>SUMPRODUCT(('Monthly Occurrences (Support)'!$C$4:$C$166=$A53)*('Monthly Occurrences (Support)'!$D$4:$D$166="Hybrid")*('Monthly Occurrences (Support)'!$K$4:$K$166))</f>
        <v>0</v>
      </c>
      <c r="G53" s="4">
        <f>SUMPRODUCT(('Monthly Occurrences (Support)'!$C$4:$C$166=$A53)*('Monthly Occurrences (Support)'!$D$4:$D$166="Hybrid")*('Monthly Occurrences (Support)'!$L$4:$L$166))</f>
        <v>0</v>
      </c>
      <c r="H53" s="4">
        <f>SUMPRODUCT(('Monthly Occurrences (Support)'!$C$4:$C$166=$A53)*('Monthly Occurrences (Support)'!$D$4:$D$166="Hybrid")*('Monthly Occurrences (Support)'!$M$4:$M$166))</f>
        <v>0</v>
      </c>
      <c r="I53" s="4">
        <f>SUMPRODUCT(('Monthly Occurrences (Support)'!$C$4:$C$166=$A53)*('Monthly Occurrences (Support)'!$D$4:$D$166="Hybrid")*('Monthly Occurrences (Support)'!$N$4:$N$166))</f>
        <v>0</v>
      </c>
      <c r="J53" s="4">
        <f>SUMPRODUCT(('Monthly Occurrences (Support)'!$C$4:$C$166=$A53)*('Monthly Occurrences (Support)'!$D$4:$D$166="Hybrid")*('Monthly Occurrences (Support)'!$O$4:$O$166))</f>
        <v>0</v>
      </c>
      <c r="K53" s="4">
        <f>SUMPRODUCT(('Monthly Occurrences (Support)'!$C$4:$C$166=$A53)*('Monthly Occurrences (Support)'!$D$4:$D$166="Hybrid")*('Monthly Occurrences (Support)'!$P$4:$P$166))</f>
        <v>0</v>
      </c>
      <c r="L53" s="4">
        <f>SUMPRODUCT(('Monthly Occurrences (Support)'!$C$4:$C$166=$A53)*('Monthly Occurrences (Support)'!$D$4:$D$166="Hybrid")*('Monthly Occurrences (Support)'!$Q$4:$Q$166))</f>
        <v>0</v>
      </c>
      <c r="M53" s="4">
        <f>SUMPRODUCT(('Monthly Occurrences (Support)'!$C$4:$C$166=$A53)*('Monthly Occurrences (Support)'!$D$4:$D$166="Hybrid")*('Monthly Occurrences (Support)'!$R$4:$R$166))</f>
        <v>0</v>
      </c>
      <c r="N53" s="4">
        <f>SUMPRODUCT(('Monthly Occurrences (Support)'!$C$4:$C$166=$A53)*('Monthly Occurrences (Support)'!$D$4:$D$166="Hybrid")*('Monthly Occurrences (Support)'!$S$4:$S$166))</f>
        <v>0</v>
      </c>
      <c r="O53" s="4">
        <f>SUMPRODUCT(('Monthly Occurrences (Support)'!$C$4:$C$166=$A53)*('Monthly Occurrences (Support)'!$D$4:$D$166="Hybrid")*('Monthly Occurrences (Support)'!$T$4:$T$166))</f>
        <v>0</v>
      </c>
      <c r="P53" s="4">
        <f>SUMPRODUCT(('Monthly Occurrences (Support)'!$C$4:$C$166=$A53)*('Monthly Occurrences (Support)'!$D$4:$D$166="Hybrid")*('Monthly Occurrences (Support)'!$U$4:$U$166))</f>
        <v>0</v>
      </c>
      <c r="Q53" s="4">
        <f>SUMPRODUCT(('Monthly Occurrences (Support)'!$C$4:$C$166=$A53)*('Monthly Occurrences (Support)'!$D$4:$D$166="Hybrid")*('Monthly Occurrences (Support)'!$V$4:$V$166))</f>
        <v>0</v>
      </c>
      <c r="R53" s="4">
        <f>SUMPRODUCT(('Monthly Occurrences (Support)'!$C$4:$C$166=$A53)*('Monthly Occurrences (Support)'!$D$4:$D$166="Hybrid")*('Monthly Occurrences (Support)'!$W$4:$W$166))</f>
        <v>0</v>
      </c>
      <c r="S53" s="4">
        <f>SUMPRODUCT(('Monthly Occurrences (Support)'!$C$4:$C$166=$A53)*('Monthly Occurrences (Support)'!$D$4:$D$166="Hybrid")*('Monthly Occurrences (Support)'!$X$4:$X$166))</f>
        <v>0</v>
      </c>
      <c r="T53" s="4">
        <f>SUMPRODUCT(('Monthly Occurrences (Support)'!$C$4:$C$166=$A53)*('Monthly Occurrences (Support)'!$D$4:$D$166="Hybrid")*('Monthly Occurrences (Support)'!$Y$4:$Y$166))</f>
        <v>0</v>
      </c>
      <c r="U53" s="4">
        <f>SUMPRODUCT(('Monthly Occurrences (Support)'!$C$4:$C$166=$A53)*('Monthly Occurrences (Support)'!$D$4:$D$166="Hybrid")*('Monthly Occurrences (Support)'!$Z$4:$Z$166))</f>
        <v>0</v>
      </c>
      <c r="V53" s="4">
        <f>SUMPRODUCT(('Monthly Occurrences (Support)'!$C$4:$C$166=$A53)*('Monthly Occurrences (Support)'!$D$4:$D$166="Hybrid")*('Monthly Occurrences (Support)'!$AA$4:$AA$166))</f>
        <v>0</v>
      </c>
      <c r="W53" s="4">
        <f>SUMPRODUCT(('Monthly Occurrences (Support)'!$C$4:$C$166=$A53)*('Monthly Occurrences (Support)'!$D$4:$D$166="Hybrid")*('Monthly Occurrences (Support)'!$AB$4:$AB$166))</f>
        <v>0</v>
      </c>
    </row>
    <row r="54" spans="1:23" x14ac:dyDescent="0.25">
      <c r="A54" s="16" t="s">
        <v>51</v>
      </c>
      <c r="B54" s="7">
        <f>SUMPRODUCT(('Monthly Occurrences (Support)'!$C$4:$C$166=$A54)*('Monthly Occurrences (Support)'!$D$4:$D$166="Hybrid")*('Monthly Occurrences (Support)'!$G$4:$G$166))</f>
        <v>0</v>
      </c>
      <c r="C54" s="7">
        <f>SUMPRODUCT(('Monthly Occurrences (Support)'!$C$4:$C$166=$A54)*('Monthly Occurrences (Support)'!$D$4:$D$166="Hybrid")*('Monthly Occurrences (Support)'!$H$4:$H$166))</f>
        <v>0</v>
      </c>
      <c r="D54" s="7">
        <f>SUMPRODUCT(('Monthly Occurrences (Support)'!$C$4:$C$166=$A54)*('Monthly Occurrences (Support)'!$D$4:$D$166="Hybrid")*('Monthly Occurrences (Support)'!$I$4:$I$166))</f>
        <v>0</v>
      </c>
      <c r="E54" s="7">
        <f>SUMPRODUCT(('Monthly Occurrences (Support)'!$C$4:$C$166=$A54)*('Monthly Occurrences (Support)'!$D$4:$D$166="Hybrid")*('Monthly Occurrences (Support)'!$J$4:$J$166))</f>
        <v>0</v>
      </c>
      <c r="F54" s="7">
        <f>SUMPRODUCT(('Monthly Occurrences (Support)'!$C$4:$C$166=$A54)*('Monthly Occurrences (Support)'!$D$4:$D$166="Hybrid")*('Monthly Occurrences (Support)'!$K$4:$K$166))</f>
        <v>0</v>
      </c>
      <c r="G54" s="7">
        <f>SUMPRODUCT(('Monthly Occurrences (Support)'!$C$4:$C$166=$A54)*('Monthly Occurrences (Support)'!$D$4:$D$166="Hybrid")*('Monthly Occurrences (Support)'!$L$4:$L$166))</f>
        <v>0</v>
      </c>
      <c r="H54" s="7">
        <f>SUMPRODUCT(('Monthly Occurrences (Support)'!$C$4:$C$166=$A54)*('Monthly Occurrences (Support)'!$D$4:$D$166="Hybrid")*('Monthly Occurrences (Support)'!$M$4:$M$166))</f>
        <v>0</v>
      </c>
      <c r="I54" s="7">
        <f>SUMPRODUCT(('Monthly Occurrences (Support)'!$C$4:$C$166=$A54)*('Monthly Occurrences (Support)'!$D$4:$D$166="Hybrid")*('Monthly Occurrences (Support)'!$N$4:$N$166))</f>
        <v>0</v>
      </c>
      <c r="J54" s="7">
        <f>SUMPRODUCT(('Monthly Occurrences (Support)'!$C$4:$C$166=$A54)*('Monthly Occurrences (Support)'!$D$4:$D$166="Hybrid")*('Monthly Occurrences (Support)'!$O$4:$O$166))</f>
        <v>0</v>
      </c>
      <c r="K54" s="7">
        <f>SUMPRODUCT(('Monthly Occurrences (Support)'!$C$4:$C$166=$A54)*('Monthly Occurrences (Support)'!$D$4:$D$166="Hybrid")*('Monthly Occurrences (Support)'!$P$4:$P$166))</f>
        <v>0</v>
      </c>
      <c r="L54" s="7">
        <f>SUMPRODUCT(('Monthly Occurrences (Support)'!$C$4:$C$166=$A54)*('Monthly Occurrences (Support)'!$D$4:$D$166="Hybrid")*('Monthly Occurrences (Support)'!$Q$4:$Q$166))</f>
        <v>0</v>
      </c>
      <c r="M54" s="7">
        <f>SUMPRODUCT(('Monthly Occurrences (Support)'!$C$4:$C$166=$A54)*('Monthly Occurrences (Support)'!$D$4:$D$166="Hybrid")*('Monthly Occurrences (Support)'!$R$4:$R$166))</f>
        <v>0</v>
      </c>
      <c r="N54" s="7">
        <f>SUMPRODUCT(('Monthly Occurrences (Support)'!$C$4:$C$166=$A54)*('Monthly Occurrences (Support)'!$D$4:$D$166="Hybrid")*('Monthly Occurrences (Support)'!$S$4:$S$166))</f>
        <v>0</v>
      </c>
      <c r="O54" s="7">
        <f>SUMPRODUCT(('Monthly Occurrences (Support)'!$C$4:$C$166=$A54)*('Monthly Occurrences (Support)'!$D$4:$D$166="Hybrid")*('Monthly Occurrences (Support)'!$T$4:$T$166))</f>
        <v>0</v>
      </c>
      <c r="P54" s="7">
        <f>SUMPRODUCT(('Monthly Occurrences (Support)'!$C$4:$C$166=$A54)*('Monthly Occurrences (Support)'!$D$4:$D$166="Hybrid")*('Monthly Occurrences (Support)'!$U$4:$U$166))</f>
        <v>0</v>
      </c>
      <c r="Q54" s="7">
        <f>SUMPRODUCT(('Monthly Occurrences (Support)'!$C$4:$C$166=$A54)*('Monthly Occurrences (Support)'!$D$4:$D$166="Hybrid")*('Monthly Occurrences (Support)'!$V$4:$V$166))</f>
        <v>0</v>
      </c>
      <c r="R54" s="7">
        <f>SUMPRODUCT(('Monthly Occurrences (Support)'!$C$4:$C$166=$A54)*('Monthly Occurrences (Support)'!$D$4:$D$166="Hybrid")*('Monthly Occurrences (Support)'!$W$4:$W$166))</f>
        <v>0</v>
      </c>
      <c r="S54" s="7">
        <f>SUMPRODUCT(('Monthly Occurrences (Support)'!$C$4:$C$166=$A54)*('Monthly Occurrences (Support)'!$D$4:$D$166="Hybrid")*('Monthly Occurrences (Support)'!$X$4:$X$166))</f>
        <v>0</v>
      </c>
      <c r="T54" s="7">
        <f>SUMPRODUCT(('Monthly Occurrences (Support)'!$C$4:$C$166=$A54)*('Monthly Occurrences (Support)'!$D$4:$D$166="Hybrid")*('Monthly Occurrences (Support)'!$Y$4:$Y$166))</f>
        <v>0</v>
      </c>
      <c r="U54" s="7">
        <f>SUMPRODUCT(('Monthly Occurrences (Support)'!$C$4:$C$166=$A54)*('Monthly Occurrences (Support)'!$D$4:$D$166="Hybrid")*('Monthly Occurrences (Support)'!$Z$4:$Z$166))</f>
        <v>0</v>
      </c>
      <c r="V54" s="7">
        <f>SUMPRODUCT(('Monthly Occurrences (Support)'!$C$4:$C$166=$A54)*('Monthly Occurrences (Support)'!$D$4:$D$166="Hybrid")*('Monthly Occurrences (Support)'!$AA$4:$AA$166))</f>
        <v>0</v>
      </c>
      <c r="W54" s="7">
        <f>SUMPRODUCT(('Monthly Occurrences (Support)'!$C$4:$C$166=$A54)*('Monthly Occurrences (Support)'!$D$4:$D$166="Hybrid")*('Monthly Occurrences (Support)'!$AB$4:$AB$166))</f>
        <v>0</v>
      </c>
    </row>
    <row r="55" spans="1:23" x14ac:dyDescent="0.25">
      <c r="A55" s="15" t="s">
        <v>52</v>
      </c>
      <c r="B55" s="4">
        <f>SUMPRODUCT(('Monthly Occurrences (Support)'!$C$4:$C$166=$A55)*('Monthly Occurrences (Support)'!$D$4:$D$166="Hybrid")*('Monthly Occurrences (Support)'!$G$4:$G$166))</f>
        <v>0</v>
      </c>
      <c r="C55" s="4">
        <f>SUMPRODUCT(('Monthly Occurrences (Support)'!$C$4:$C$166=$A55)*('Monthly Occurrences (Support)'!$D$4:$D$166="Hybrid")*('Monthly Occurrences (Support)'!$H$4:$H$166))</f>
        <v>0</v>
      </c>
      <c r="D55" s="4">
        <f>SUMPRODUCT(('Monthly Occurrences (Support)'!$C$4:$C$166=$A55)*('Monthly Occurrences (Support)'!$D$4:$D$166="Hybrid")*('Monthly Occurrences (Support)'!$I$4:$I$166))</f>
        <v>0</v>
      </c>
      <c r="E55" s="4">
        <f>SUMPRODUCT(('Monthly Occurrences (Support)'!$C$4:$C$166=$A55)*('Monthly Occurrences (Support)'!$D$4:$D$166="Hybrid")*('Monthly Occurrences (Support)'!$J$4:$J$166))</f>
        <v>0</v>
      </c>
      <c r="F55" s="4">
        <f>SUMPRODUCT(('Monthly Occurrences (Support)'!$C$4:$C$166=$A55)*('Monthly Occurrences (Support)'!$D$4:$D$166="Hybrid")*('Monthly Occurrences (Support)'!$K$4:$K$166))</f>
        <v>0</v>
      </c>
      <c r="G55" s="4">
        <f>SUMPRODUCT(('Monthly Occurrences (Support)'!$C$4:$C$166=$A55)*('Monthly Occurrences (Support)'!$D$4:$D$166="Hybrid")*('Monthly Occurrences (Support)'!$L$4:$L$166))</f>
        <v>0</v>
      </c>
      <c r="H55" s="4">
        <f>SUMPRODUCT(('Monthly Occurrences (Support)'!$C$4:$C$166=$A55)*('Monthly Occurrences (Support)'!$D$4:$D$166="Hybrid")*('Monthly Occurrences (Support)'!$M$4:$M$166))</f>
        <v>0</v>
      </c>
      <c r="I55" s="4">
        <f>SUMPRODUCT(('Monthly Occurrences (Support)'!$C$4:$C$166=$A55)*('Monthly Occurrences (Support)'!$D$4:$D$166="Hybrid")*('Monthly Occurrences (Support)'!$N$4:$N$166))</f>
        <v>8</v>
      </c>
      <c r="J55" s="4">
        <f>SUMPRODUCT(('Monthly Occurrences (Support)'!$C$4:$C$166=$A55)*('Monthly Occurrences (Support)'!$D$4:$D$166="Hybrid")*('Monthly Occurrences (Support)'!$O$4:$O$166))</f>
        <v>14</v>
      </c>
      <c r="K55" s="4">
        <f>SUMPRODUCT(('Monthly Occurrences (Support)'!$C$4:$C$166=$A55)*('Monthly Occurrences (Support)'!$D$4:$D$166="Hybrid")*('Monthly Occurrences (Support)'!$P$4:$P$166))</f>
        <v>13</v>
      </c>
      <c r="L55" s="4">
        <f>SUMPRODUCT(('Monthly Occurrences (Support)'!$C$4:$C$166=$A55)*('Monthly Occurrences (Support)'!$D$4:$D$166="Hybrid")*('Monthly Occurrences (Support)'!$Q$4:$Q$166))</f>
        <v>8</v>
      </c>
      <c r="M55" s="4">
        <f>SUMPRODUCT(('Monthly Occurrences (Support)'!$C$4:$C$166=$A55)*('Monthly Occurrences (Support)'!$D$4:$D$166="Hybrid")*('Monthly Occurrences (Support)'!$R$4:$R$166))</f>
        <v>0</v>
      </c>
      <c r="N55" s="4">
        <f>SUMPRODUCT(('Monthly Occurrences (Support)'!$C$4:$C$166=$A55)*('Monthly Occurrences (Support)'!$D$4:$D$166="Hybrid")*('Monthly Occurrences (Support)'!$S$4:$S$166))</f>
        <v>0</v>
      </c>
      <c r="O55" s="4">
        <f>SUMPRODUCT(('Monthly Occurrences (Support)'!$C$4:$C$166=$A55)*('Monthly Occurrences (Support)'!$D$4:$D$166="Hybrid")*('Monthly Occurrences (Support)'!$T$4:$T$166))</f>
        <v>0</v>
      </c>
      <c r="P55" s="4">
        <f>SUMPRODUCT(('Monthly Occurrences (Support)'!$C$4:$C$166=$A55)*('Monthly Occurrences (Support)'!$D$4:$D$166="Hybrid")*('Monthly Occurrences (Support)'!$U$4:$U$166))</f>
        <v>0</v>
      </c>
      <c r="Q55" s="4">
        <f>SUMPRODUCT(('Monthly Occurrences (Support)'!$C$4:$C$166=$A55)*('Monthly Occurrences (Support)'!$D$4:$D$166="Hybrid")*('Monthly Occurrences (Support)'!$V$4:$V$166))</f>
        <v>0</v>
      </c>
      <c r="R55" s="4">
        <f>SUMPRODUCT(('Monthly Occurrences (Support)'!$C$4:$C$166=$A55)*('Monthly Occurrences (Support)'!$D$4:$D$166="Hybrid")*('Monthly Occurrences (Support)'!$W$4:$W$166))</f>
        <v>0</v>
      </c>
      <c r="S55" s="4">
        <f>SUMPRODUCT(('Monthly Occurrences (Support)'!$C$4:$C$166=$A55)*('Monthly Occurrences (Support)'!$D$4:$D$166="Hybrid")*('Monthly Occurrences (Support)'!$X$4:$X$166))</f>
        <v>0</v>
      </c>
      <c r="T55" s="4">
        <f>SUMPRODUCT(('Monthly Occurrences (Support)'!$C$4:$C$166=$A55)*('Monthly Occurrences (Support)'!$D$4:$D$166="Hybrid")*('Monthly Occurrences (Support)'!$Y$4:$Y$166))</f>
        <v>0</v>
      </c>
      <c r="U55" s="4">
        <f>SUMPRODUCT(('Monthly Occurrences (Support)'!$C$4:$C$166=$A55)*('Monthly Occurrences (Support)'!$D$4:$D$166="Hybrid")*('Monthly Occurrences (Support)'!$Z$4:$Z$166))</f>
        <v>0</v>
      </c>
      <c r="V55" s="4">
        <f>SUMPRODUCT(('Monthly Occurrences (Support)'!$C$4:$C$166=$A55)*('Monthly Occurrences (Support)'!$D$4:$D$166="Hybrid")*('Monthly Occurrences (Support)'!$AA$4:$AA$166))</f>
        <v>0</v>
      </c>
      <c r="W55" s="4">
        <f>SUMPRODUCT(('Monthly Occurrences (Support)'!$C$4:$C$166=$A55)*('Monthly Occurrences (Support)'!$D$4:$D$166="Hybrid")*('Monthly Occurrences (Support)'!$AB$4:$AB$166))</f>
        <v>0</v>
      </c>
    </row>
    <row r="56" spans="1:23" x14ac:dyDescent="0.25">
      <c r="A56" s="16" t="s">
        <v>53</v>
      </c>
      <c r="B56" s="7">
        <f>SUMPRODUCT(('Monthly Occurrences (Support)'!$C$4:$C$166=$A56)*('Monthly Occurrences (Support)'!$D$4:$D$166="Hybrid")*('Monthly Occurrences (Support)'!$G$4:$G$166))</f>
        <v>0</v>
      </c>
      <c r="C56" s="7">
        <f>SUMPRODUCT(('Monthly Occurrences (Support)'!$C$4:$C$166=$A56)*('Monthly Occurrences (Support)'!$D$4:$D$166="Hybrid")*('Monthly Occurrences (Support)'!$H$4:$H$166))</f>
        <v>0</v>
      </c>
      <c r="D56" s="7">
        <f>SUMPRODUCT(('Monthly Occurrences (Support)'!$C$4:$C$166=$A56)*('Monthly Occurrences (Support)'!$D$4:$D$166="Hybrid")*('Monthly Occurrences (Support)'!$I$4:$I$166))</f>
        <v>0</v>
      </c>
      <c r="E56" s="7">
        <f>SUMPRODUCT(('Monthly Occurrences (Support)'!$C$4:$C$166=$A56)*('Monthly Occurrences (Support)'!$D$4:$D$166="Hybrid")*('Monthly Occurrences (Support)'!$J$4:$J$166))</f>
        <v>0</v>
      </c>
      <c r="F56" s="7">
        <f>SUMPRODUCT(('Monthly Occurrences (Support)'!$C$4:$C$166=$A56)*('Monthly Occurrences (Support)'!$D$4:$D$166="Hybrid")*('Monthly Occurrences (Support)'!$K$4:$K$166))</f>
        <v>0</v>
      </c>
      <c r="G56" s="7">
        <f>SUMPRODUCT(('Monthly Occurrences (Support)'!$C$4:$C$166=$A56)*('Monthly Occurrences (Support)'!$D$4:$D$166="Hybrid")*('Monthly Occurrences (Support)'!$L$4:$L$166))</f>
        <v>0</v>
      </c>
      <c r="H56" s="7">
        <f>SUMPRODUCT(('Monthly Occurrences (Support)'!$C$4:$C$166=$A56)*('Monthly Occurrences (Support)'!$D$4:$D$166="Hybrid")*('Monthly Occurrences (Support)'!$M$4:$M$166))</f>
        <v>0</v>
      </c>
      <c r="I56" s="7">
        <f>SUMPRODUCT(('Monthly Occurrences (Support)'!$C$4:$C$166=$A56)*('Monthly Occurrences (Support)'!$D$4:$D$166="Hybrid")*('Monthly Occurrences (Support)'!$N$4:$N$166))</f>
        <v>0</v>
      </c>
      <c r="J56" s="7">
        <f>SUMPRODUCT(('Monthly Occurrences (Support)'!$C$4:$C$166=$A56)*('Monthly Occurrences (Support)'!$D$4:$D$166="Hybrid")*('Monthly Occurrences (Support)'!$O$4:$O$166))</f>
        <v>0</v>
      </c>
      <c r="K56" s="7">
        <f>SUMPRODUCT(('Monthly Occurrences (Support)'!$C$4:$C$166=$A56)*('Monthly Occurrences (Support)'!$D$4:$D$166="Hybrid")*('Monthly Occurrences (Support)'!$P$4:$P$166))</f>
        <v>0</v>
      </c>
      <c r="L56" s="7">
        <f>SUMPRODUCT(('Monthly Occurrences (Support)'!$C$4:$C$166=$A56)*('Monthly Occurrences (Support)'!$D$4:$D$166="Hybrid")*('Monthly Occurrences (Support)'!$Q$4:$Q$166))</f>
        <v>0</v>
      </c>
      <c r="M56" s="7">
        <f>SUMPRODUCT(('Monthly Occurrences (Support)'!$C$4:$C$166=$A56)*('Monthly Occurrences (Support)'!$D$4:$D$166="Hybrid")*('Monthly Occurrences (Support)'!$R$4:$R$166))</f>
        <v>0</v>
      </c>
      <c r="N56" s="7">
        <f>SUMPRODUCT(('Monthly Occurrences (Support)'!$C$4:$C$166=$A56)*('Monthly Occurrences (Support)'!$D$4:$D$166="Hybrid")*('Monthly Occurrences (Support)'!$S$4:$S$166))</f>
        <v>0</v>
      </c>
      <c r="O56" s="7">
        <f>SUMPRODUCT(('Monthly Occurrences (Support)'!$C$4:$C$166=$A56)*('Monthly Occurrences (Support)'!$D$4:$D$166="Hybrid")*('Monthly Occurrences (Support)'!$T$4:$T$166))</f>
        <v>0</v>
      </c>
      <c r="P56" s="7">
        <f>SUMPRODUCT(('Monthly Occurrences (Support)'!$C$4:$C$166=$A56)*('Monthly Occurrences (Support)'!$D$4:$D$166="Hybrid")*('Monthly Occurrences (Support)'!$U$4:$U$166))</f>
        <v>0</v>
      </c>
      <c r="Q56" s="7">
        <f>SUMPRODUCT(('Monthly Occurrences (Support)'!$C$4:$C$166=$A56)*('Monthly Occurrences (Support)'!$D$4:$D$166="Hybrid")*('Monthly Occurrences (Support)'!$V$4:$V$166))</f>
        <v>0</v>
      </c>
      <c r="R56" s="7">
        <f>SUMPRODUCT(('Monthly Occurrences (Support)'!$C$4:$C$166=$A56)*('Monthly Occurrences (Support)'!$D$4:$D$166="Hybrid")*('Monthly Occurrences (Support)'!$W$4:$W$166))</f>
        <v>0</v>
      </c>
      <c r="S56" s="7">
        <f>SUMPRODUCT(('Monthly Occurrences (Support)'!$C$4:$C$166=$A56)*('Monthly Occurrences (Support)'!$D$4:$D$166="Hybrid")*('Monthly Occurrences (Support)'!$X$4:$X$166))</f>
        <v>0</v>
      </c>
      <c r="T56" s="7">
        <f>SUMPRODUCT(('Monthly Occurrences (Support)'!$C$4:$C$166=$A56)*('Monthly Occurrences (Support)'!$D$4:$D$166="Hybrid")*('Monthly Occurrences (Support)'!$Y$4:$Y$166))</f>
        <v>0</v>
      </c>
      <c r="U56" s="7">
        <f>SUMPRODUCT(('Monthly Occurrences (Support)'!$C$4:$C$166=$A56)*('Monthly Occurrences (Support)'!$D$4:$D$166="Hybrid")*('Monthly Occurrences (Support)'!$Z$4:$Z$166))</f>
        <v>0</v>
      </c>
      <c r="V56" s="7">
        <f>SUMPRODUCT(('Monthly Occurrences (Support)'!$C$4:$C$166=$A56)*('Monthly Occurrences (Support)'!$D$4:$D$166="Hybrid")*('Monthly Occurrences (Support)'!$AA$4:$AA$166))</f>
        <v>0</v>
      </c>
      <c r="W56" s="7">
        <f>SUMPRODUCT(('Monthly Occurrences (Support)'!$C$4:$C$166=$A56)*('Monthly Occurrences (Support)'!$D$4:$D$166="Hybrid")*('Monthly Occurrences (Support)'!$AB$4:$AB$166))</f>
        <v>0</v>
      </c>
    </row>
    <row r="57" spans="1:23" x14ac:dyDescent="0.25">
      <c r="A57" s="15" t="s">
        <v>54</v>
      </c>
      <c r="B57" s="4">
        <f>SUMPRODUCT(('Monthly Occurrences (Support)'!$C$4:$C$166=$A57)*('Monthly Occurrences (Support)'!$D$4:$D$166="Hybrid")*('Monthly Occurrences (Support)'!$G$4:$G$166))</f>
        <v>0</v>
      </c>
      <c r="C57" s="4">
        <f>SUMPRODUCT(('Monthly Occurrences (Support)'!$C$4:$C$166=$A57)*('Monthly Occurrences (Support)'!$D$4:$D$166="Hybrid")*('Monthly Occurrences (Support)'!$H$4:$H$166))</f>
        <v>0</v>
      </c>
      <c r="D57" s="4">
        <f>SUMPRODUCT(('Monthly Occurrences (Support)'!$C$4:$C$166=$A57)*('Monthly Occurrences (Support)'!$D$4:$D$166="Hybrid")*('Monthly Occurrences (Support)'!$I$4:$I$166))</f>
        <v>0</v>
      </c>
      <c r="E57" s="4">
        <f>SUMPRODUCT(('Monthly Occurrences (Support)'!$C$4:$C$166=$A57)*('Monthly Occurrences (Support)'!$D$4:$D$166="Hybrid")*('Monthly Occurrences (Support)'!$J$4:$J$166))</f>
        <v>0</v>
      </c>
      <c r="F57" s="4">
        <f>SUMPRODUCT(('Monthly Occurrences (Support)'!$C$4:$C$166=$A57)*('Monthly Occurrences (Support)'!$D$4:$D$166="Hybrid")*('Monthly Occurrences (Support)'!$K$4:$K$166))</f>
        <v>0</v>
      </c>
      <c r="G57" s="4">
        <f>SUMPRODUCT(('Monthly Occurrences (Support)'!$C$4:$C$166=$A57)*('Monthly Occurrences (Support)'!$D$4:$D$166="Hybrid")*('Monthly Occurrences (Support)'!$L$4:$L$166))</f>
        <v>0</v>
      </c>
      <c r="H57" s="4">
        <f>SUMPRODUCT(('Monthly Occurrences (Support)'!$C$4:$C$166=$A57)*('Monthly Occurrences (Support)'!$D$4:$D$166="Hybrid")*('Monthly Occurrences (Support)'!$M$4:$M$166))</f>
        <v>3</v>
      </c>
      <c r="I57" s="4">
        <f>SUMPRODUCT(('Monthly Occurrences (Support)'!$C$4:$C$166=$A57)*('Monthly Occurrences (Support)'!$D$4:$D$166="Hybrid")*('Monthly Occurrences (Support)'!$N$4:$N$166))</f>
        <v>4</v>
      </c>
      <c r="J57" s="4">
        <f>SUMPRODUCT(('Monthly Occurrences (Support)'!$C$4:$C$166=$A57)*('Monthly Occurrences (Support)'!$D$4:$D$166="Hybrid")*('Monthly Occurrences (Support)'!$O$4:$O$166))</f>
        <v>5</v>
      </c>
      <c r="K57" s="4">
        <f>SUMPRODUCT(('Monthly Occurrences (Support)'!$C$4:$C$166=$A57)*('Monthly Occurrences (Support)'!$D$4:$D$166="Hybrid")*('Monthly Occurrences (Support)'!$P$4:$P$166))</f>
        <v>2</v>
      </c>
      <c r="L57" s="4">
        <f>SUMPRODUCT(('Monthly Occurrences (Support)'!$C$4:$C$166=$A57)*('Monthly Occurrences (Support)'!$D$4:$D$166="Hybrid")*('Monthly Occurrences (Support)'!$Q$4:$Q$166))</f>
        <v>0</v>
      </c>
      <c r="M57" s="4">
        <f>SUMPRODUCT(('Monthly Occurrences (Support)'!$C$4:$C$166=$A57)*('Monthly Occurrences (Support)'!$D$4:$D$166="Hybrid")*('Monthly Occurrences (Support)'!$R$4:$R$166))</f>
        <v>0</v>
      </c>
      <c r="N57" s="4">
        <f>SUMPRODUCT(('Monthly Occurrences (Support)'!$C$4:$C$166=$A57)*('Monthly Occurrences (Support)'!$D$4:$D$166="Hybrid")*('Monthly Occurrences (Support)'!$S$4:$S$166))</f>
        <v>0</v>
      </c>
      <c r="O57" s="4">
        <f>SUMPRODUCT(('Monthly Occurrences (Support)'!$C$4:$C$166=$A57)*('Monthly Occurrences (Support)'!$D$4:$D$166="Hybrid")*('Monthly Occurrences (Support)'!$T$4:$T$166))</f>
        <v>0</v>
      </c>
      <c r="P57" s="4">
        <f>SUMPRODUCT(('Monthly Occurrences (Support)'!$C$4:$C$166=$A57)*('Monthly Occurrences (Support)'!$D$4:$D$166="Hybrid")*('Monthly Occurrences (Support)'!$U$4:$U$166))</f>
        <v>0</v>
      </c>
      <c r="Q57" s="4">
        <f>SUMPRODUCT(('Monthly Occurrences (Support)'!$C$4:$C$166=$A57)*('Monthly Occurrences (Support)'!$D$4:$D$166="Hybrid")*('Monthly Occurrences (Support)'!$V$4:$V$166))</f>
        <v>0</v>
      </c>
      <c r="R57" s="4">
        <f>SUMPRODUCT(('Monthly Occurrences (Support)'!$C$4:$C$166=$A57)*('Monthly Occurrences (Support)'!$D$4:$D$166="Hybrid")*('Monthly Occurrences (Support)'!$W$4:$W$166))</f>
        <v>0</v>
      </c>
      <c r="S57" s="4">
        <f>SUMPRODUCT(('Monthly Occurrences (Support)'!$C$4:$C$166=$A57)*('Monthly Occurrences (Support)'!$D$4:$D$166="Hybrid")*('Monthly Occurrences (Support)'!$X$4:$X$166))</f>
        <v>0</v>
      </c>
      <c r="T57" s="4">
        <f>SUMPRODUCT(('Monthly Occurrences (Support)'!$C$4:$C$166=$A57)*('Monthly Occurrences (Support)'!$D$4:$D$166="Hybrid")*('Monthly Occurrences (Support)'!$Y$4:$Y$166))</f>
        <v>0</v>
      </c>
      <c r="U57" s="4">
        <f>SUMPRODUCT(('Monthly Occurrences (Support)'!$C$4:$C$166=$A57)*('Monthly Occurrences (Support)'!$D$4:$D$166="Hybrid")*('Monthly Occurrences (Support)'!$Z$4:$Z$166))</f>
        <v>0</v>
      </c>
      <c r="V57" s="4">
        <f>SUMPRODUCT(('Monthly Occurrences (Support)'!$C$4:$C$166=$A57)*('Monthly Occurrences (Support)'!$D$4:$D$166="Hybrid")*('Monthly Occurrences (Support)'!$AA$4:$AA$166))</f>
        <v>0</v>
      </c>
      <c r="W57" s="4">
        <f>SUMPRODUCT(('Monthly Occurrences (Support)'!$C$4:$C$166=$A57)*('Monthly Occurrences (Support)'!$D$4:$D$166="Hybrid")*('Monthly Occurrences (Support)'!$AB$4:$AB$166))</f>
        <v>0</v>
      </c>
    </row>
    <row r="58" spans="1:23" x14ac:dyDescent="0.25">
      <c r="A58" s="16" t="s">
        <v>55</v>
      </c>
      <c r="B58" s="7">
        <f>SUMPRODUCT(('Monthly Occurrences (Support)'!$C$4:$C$166=$A58)*('Monthly Occurrences (Support)'!$D$4:$D$166="Hybrid")*('Monthly Occurrences (Support)'!$G$4:$G$166))</f>
        <v>0</v>
      </c>
      <c r="C58" s="7">
        <f>SUMPRODUCT(('Monthly Occurrences (Support)'!$C$4:$C$166=$A58)*('Monthly Occurrences (Support)'!$D$4:$D$166="Hybrid")*('Monthly Occurrences (Support)'!$H$4:$H$166))</f>
        <v>0</v>
      </c>
      <c r="D58" s="7">
        <f>SUMPRODUCT(('Monthly Occurrences (Support)'!$C$4:$C$166=$A58)*('Monthly Occurrences (Support)'!$D$4:$D$166="Hybrid")*('Monthly Occurrences (Support)'!$I$4:$I$166))</f>
        <v>0</v>
      </c>
      <c r="E58" s="7">
        <f>SUMPRODUCT(('Monthly Occurrences (Support)'!$C$4:$C$166=$A58)*('Monthly Occurrences (Support)'!$D$4:$D$166="Hybrid")*('Monthly Occurrences (Support)'!$J$4:$J$166))</f>
        <v>0</v>
      </c>
      <c r="F58" s="7">
        <f>SUMPRODUCT(('Monthly Occurrences (Support)'!$C$4:$C$166=$A58)*('Monthly Occurrences (Support)'!$D$4:$D$166="Hybrid")*('Monthly Occurrences (Support)'!$K$4:$K$166))</f>
        <v>0</v>
      </c>
      <c r="G58" s="7">
        <f>SUMPRODUCT(('Monthly Occurrences (Support)'!$C$4:$C$166=$A58)*('Monthly Occurrences (Support)'!$D$4:$D$166="Hybrid")*('Monthly Occurrences (Support)'!$L$4:$L$166))</f>
        <v>0</v>
      </c>
      <c r="H58" s="7">
        <f>SUMPRODUCT(('Monthly Occurrences (Support)'!$C$4:$C$166=$A58)*('Monthly Occurrences (Support)'!$D$4:$D$166="Hybrid")*('Monthly Occurrences (Support)'!$M$4:$M$166))</f>
        <v>0</v>
      </c>
      <c r="I58" s="7">
        <f>SUMPRODUCT(('Monthly Occurrences (Support)'!$C$4:$C$166=$A58)*('Monthly Occurrences (Support)'!$D$4:$D$166="Hybrid")*('Monthly Occurrences (Support)'!$N$4:$N$166))</f>
        <v>2</v>
      </c>
      <c r="J58" s="7">
        <f>SUMPRODUCT(('Monthly Occurrences (Support)'!$C$4:$C$166=$A58)*('Monthly Occurrences (Support)'!$D$4:$D$166="Hybrid")*('Monthly Occurrences (Support)'!$O$4:$O$166))</f>
        <v>4</v>
      </c>
      <c r="K58" s="7">
        <f>SUMPRODUCT(('Monthly Occurrences (Support)'!$C$4:$C$166=$A58)*('Monthly Occurrences (Support)'!$D$4:$D$166="Hybrid")*('Monthly Occurrences (Support)'!$P$4:$P$166))</f>
        <v>4</v>
      </c>
      <c r="L58" s="7">
        <f>SUMPRODUCT(('Monthly Occurrences (Support)'!$C$4:$C$166=$A58)*('Monthly Occurrences (Support)'!$D$4:$D$166="Hybrid")*('Monthly Occurrences (Support)'!$Q$4:$Q$166))</f>
        <v>3</v>
      </c>
      <c r="M58" s="7">
        <f>SUMPRODUCT(('Monthly Occurrences (Support)'!$C$4:$C$166=$A58)*('Monthly Occurrences (Support)'!$D$4:$D$166="Hybrid")*('Monthly Occurrences (Support)'!$R$4:$R$166))</f>
        <v>0</v>
      </c>
      <c r="N58" s="7">
        <f>SUMPRODUCT(('Monthly Occurrences (Support)'!$C$4:$C$166=$A58)*('Monthly Occurrences (Support)'!$D$4:$D$166="Hybrid")*('Monthly Occurrences (Support)'!$S$4:$S$166))</f>
        <v>0</v>
      </c>
      <c r="O58" s="7">
        <f>SUMPRODUCT(('Monthly Occurrences (Support)'!$C$4:$C$166=$A58)*('Monthly Occurrences (Support)'!$D$4:$D$166="Hybrid")*('Monthly Occurrences (Support)'!$T$4:$T$166))</f>
        <v>0</v>
      </c>
      <c r="P58" s="7">
        <f>SUMPRODUCT(('Monthly Occurrences (Support)'!$C$4:$C$166=$A58)*('Monthly Occurrences (Support)'!$D$4:$D$166="Hybrid")*('Monthly Occurrences (Support)'!$U$4:$U$166))</f>
        <v>0</v>
      </c>
      <c r="Q58" s="7">
        <f>SUMPRODUCT(('Monthly Occurrences (Support)'!$C$4:$C$166=$A58)*('Monthly Occurrences (Support)'!$D$4:$D$166="Hybrid")*('Monthly Occurrences (Support)'!$V$4:$V$166))</f>
        <v>0</v>
      </c>
      <c r="R58" s="7">
        <f>SUMPRODUCT(('Monthly Occurrences (Support)'!$C$4:$C$166=$A58)*('Monthly Occurrences (Support)'!$D$4:$D$166="Hybrid")*('Monthly Occurrences (Support)'!$W$4:$W$166))</f>
        <v>0</v>
      </c>
      <c r="S58" s="7">
        <f>SUMPRODUCT(('Monthly Occurrences (Support)'!$C$4:$C$166=$A58)*('Monthly Occurrences (Support)'!$D$4:$D$166="Hybrid")*('Monthly Occurrences (Support)'!$X$4:$X$166))</f>
        <v>0</v>
      </c>
      <c r="T58" s="7">
        <f>SUMPRODUCT(('Monthly Occurrences (Support)'!$C$4:$C$166=$A58)*('Monthly Occurrences (Support)'!$D$4:$D$166="Hybrid")*('Monthly Occurrences (Support)'!$Y$4:$Y$166))</f>
        <v>0</v>
      </c>
      <c r="U58" s="7">
        <f>SUMPRODUCT(('Monthly Occurrences (Support)'!$C$4:$C$166=$A58)*('Monthly Occurrences (Support)'!$D$4:$D$166="Hybrid")*('Monthly Occurrences (Support)'!$Z$4:$Z$166))</f>
        <v>0</v>
      </c>
      <c r="V58" s="7">
        <f>SUMPRODUCT(('Monthly Occurrences (Support)'!$C$4:$C$166=$A58)*('Monthly Occurrences (Support)'!$D$4:$D$166="Hybrid")*('Monthly Occurrences (Support)'!$AA$4:$AA$166))</f>
        <v>0</v>
      </c>
      <c r="W58" s="7">
        <f>SUMPRODUCT(('Monthly Occurrences (Support)'!$C$4:$C$166=$A58)*('Monthly Occurrences (Support)'!$D$4:$D$166="Hybrid")*('Monthly Occurrences (Support)'!$AB$4:$AB$166))</f>
        <v>0</v>
      </c>
    </row>
    <row r="59" spans="1:23" x14ac:dyDescent="0.25">
      <c r="A59" s="15" t="s">
        <v>56</v>
      </c>
      <c r="B59" s="4">
        <f>SUMPRODUCT(('Monthly Occurrences (Support)'!$C$4:$C$166=$A59)*('Monthly Occurrences (Support)'!$D$4:$D$166="Hybrid")*('Monthly Occurrences (Support)'!$G$4:$G$166))</f>
        <v>0</v>
      </c>
      <c r="C59" s="4">
        <f>SUMPRODUCT(('Monthly Occurrences (Support)'!$C$4:$C$166=$A59)*('Monthly Occurrences (Support)'!$D$4:$D$166="Hybrid")*('Monthly Occurrences (Support)'!$H$4:$H$166))</f>
        <v>0</v>
      </c>
      <c r="D59" s="4">
        <f>SUMPRODUCT(('Monthly Occurrences (Support)'!$C$4:$C$166=$A59)*('Monthly Occurrences (Support)'!$D$4:$D$166="Hybrid")*('Monthly Occurrences (Support)'!$I$4:$I$166))</f>
        <v>0</v>
      </c>
      <c r="E59" s="4">
        <f>SUMPRODUCT(('Monthly Occurrences (Support)'!$C$4:$C$166=$A59)*('Monthly Occurrences (Support)'!$D$4:$D$166="Hybrid")*('Monthly Occurrences (Support)'!$J$4:$J$166))</f>
        <v>0</v>
      </c>
      <c r="F59" s="4">
        <f>SUMPRODUCT(('Monthly Occurrences (Support)'!$C$4:$C$166=$A59)*('Monthly Occurrences (Support)'!$D$4:$D$166="Hybrid")*('Monthly Occurrences (Support)'!$K$4:$K$166))</f>
        <v>0</v>
      </c>
      <c r="G59" s="4">
        <f>SUMPRODUCT(('Monthly Occurrences (Support)'!$C$4:$C$166=$A59)*('Monthly Occurrences (Support)'!$D$4:$D$166="Hybrid")*('Monthly Occurrences (Support)'!$L$4:$L$166))</f>
        <v>0</v>
      </c>
      <c r="H59" s="4">
        <f>SUMPRODUCT(('Monthly Occurrences (Support)'!$C$4:$C$166=$A59)*('Monthly Occurrences (Support)'!$D$4:$D$166="Hybrid")*('Monthly Occurrences (Support)'!$M$4:$M$166))</f>
        <v>0</v>
      </c>
      <c r="I59" s="4">
        <f>SUMPRODUCT(('Monthly Occurrences (Support)'!$C$4:$C$166=$A59)*('Monthly Occurrences (Support)'!$D$4:$D$166="Hybrid")*('Monthly Occurrences (Support)'!$N$4:$N$166))</f>
        <v>0</v>
      </c>
      <c r="J59" s="4">
        <f>SUMPRODUCT(('Monthly Occurrences (Support)'!$C$4:$C$166=$A59)*('Monthly Occurrences (Support)'!$D$4:$D$166="Hybrid")*('Monthly Occurrences (Support)'!$O$4:$O$166))</f>
        <v>0</v>
      </c>
      <c r="K59" s="4">
        <f>SUMPRODUCT(('Monthly Occurrences (Support)'!$C$4:$C$166=$A59)*('Monthly Occurrences (Support)'!$D$4:$D$166="Hybrid")*('Monthly Occurrences (Support)'!$P$4:$P$166))</f>
        <v>0</v>
      </c>
      <c r="L59" s="4">
        <f>SUMPRODUCT(('Monthly Occurrences (Support)'!$C$4:$C$166=$A59)*('Monthly Occurrences (Support)'!$D$4:$D$166="Hybrid")*('Monthly Occurrences (Support)'!$Q$4:$Q$166))</f>
        <v>0</v>
      </c>
      <c r="M59" s="4">
        <f>SUMPRODUCT(('Monthly Occurrences (Support)'!$C$4:$C$166=$A59)*('Monthly Occurrences (Support)'!$D$4:$D$166="Hybrid")*('Monthly Occurrences (Support)'!$R$4:$R$166))</f>
        <v>0</v>
      </c>
      <c r="N59" s="4">
        <f>SUMPRODUCT(('Monthly Occurrences (Support)'!$C$4:$C$166=$A59)*('Monthly Occurrences (Support)'!$D$4:$D$166="Hybrid")*('Monthly Occurrences (Support)'!$S$4:$S$166))</f>
        <v>0</v>
      </c>
      <c r="O59" s="4">
        <f>SUMPRODUCT(('Monthly Occurrences (Support)'!$C$4:$C$166=$A59)*('Monthly Occurrences (Support)'!$D$4:$D$166="Hybrid")*('Monthly Occurrences (Support)'!$T$4:$T$166))</f>
        <v>0</v>
      </c>
      <c r="P59" s="4">
        <f>SUMPRODUCT(('Monthly Occurrences (Support)'!$C$4:$C$166=$A59)*('Monthly Occurrences (Support)'!$D$4:$D$166="Hybrid")*('Monthly Occurrences (Support)'!$U$4:$U$166))</f>
        <v>0</v>
      </c>
      <c r="Q59" s="4">
        <f>SUMPRODUCT(('Monthly Occurrences (Support)'!$C$4:$C$166=$A59)*('Monthly Occurrences (Support)'!$D$4:$D$166="Hybrid")*('Monthly Occurrences (Support)'!$V$4:$V$166))</f>
        <v>0</v>
      </c>
      <c r="R59" s="4">
        <f>SUMPRODUCT(('Monthly Occurrences (Support)'!$C$4:$C$166=$A59)*('Monthly Occurrences (Support)'!$D$4:$D$166="Hybrid")*('Monthly Occurrences (Support)'!$W$4:$W$166))</f>
        <v>0</v>
      </c>
      <c r="S59" s="4">
        <f>SUMPRODUCT(('Monthly Occurrences (Support)'!$C$4:$C$166=$A59)*('Monthly Occurrences (Support)'!$D$4:$D$166="Hybrid")*('Monthly Occurrences (Support)'!$X$4:$X$166))</f>
        <v>0</v>
      </c>
      <c r="T59" s="4">
        <f>SUMPRODUCT(('Monthly Occurrences (Support)'!$C$4:$C$166=$A59)*('Monthly Occurrences (Support)'!$D$4:$D$166="Hybrid")*('Monthly Occurrences (Support)'!$Y$4:$Y$166))</f>
        <v>0</v>
      </c>
      <c r="U59" s="4">
        <f>SUMPRODUCT(('Monthly Occurrences (Support)'!$C$4:$C$166=$A59)*('Monthly Occurrences (Support)'!$D$4:$D$166="Hybrid")*('Monthly Occurrences (Support)'!$Z$4:$Z$166))</f>
        <v>0</v>
      </c>
      <c r="V59" s="4">
        <f>SUMPRODUCT(('Monthly Occurrences (Support)'!$C$4:$C$166=$A59)*('Monthly Occurrences (Support)'!$D$4:$D$166="Hybrid")*('Monthly Occurrences (Support)'!$AA$4:$AA$166))</f>
        <v>0</v>
      </c>
      <c r="W59" s="4">
        <f>SUMPRODUCT(('Monthly Occurrences (Support)'!$C$4:$C$166=$A59)*('Monthly Occurrences (Support)'!$D$4:$D$166="Hybrid")*('Monthly Occurrences (Support)'!$AB$4:$AB$166))</f>
        <v>0</v>
      </c>
    </row>
    <row r="60" spans="1:23" x14ac:dyDescent="0.25">
      <c r="A60" s="16" t="s">
        <v>57</v>
      </c>
      <c r="B60" s="7">
        <f>SUMPRODUCT(('Monthly Occurrences (Support)'!$C$4:$C$166=$A60)*('Monthly Occurrences (Support)'!$D$4:$D$166="Hybrid")*('Monthly Occurrences (Support)'!$G$4:$G$166))</f>
        <v>0</v>
      </c>
      <c r="C60" s="7">
        <f>SUMPRODUCT(('Monthly Occurrences (Support)'!$C$4:$C$166=$A60)*('Monthly Occurrences (Support)'!$D$4:$D$166="Hybrid")*('Monthly Occurrences (Support)'!$H$4:$H$166))</f>
        <v>0</v>
      </c>
      <c r="D60" s="7">
        <f>SUMPRODUCT(('Monthly Occurrences (Support)'!$C$4:$C$166=$A60)*('Monthly Occurrences (Support)'!$D$4:$D$166="Hybrid")*('Monthly Occurrences (Support)'!$I$4:$I$166))</f>
        <v>0</v>
      </c>
      <c r="E60" s="7">
        <f>SUMPRODUCT(('Monthly Occurrences (Support)'!$C$4:$C$166=$A60)*('Monthly Occurrences (Support)'!$D$4:$D$166="Hybrid")*('Monthly Occurrences (Support)'!$J$4:$J$166))</f>
        <v>0</v>
      </c>
      <c r="F60" s="7">
        <f>SUMPRODUCT(('Monthly Occurrences (Support)'!$C$4:$C$166=$A60)*('Monthly Occurrences (Support)'!$D$4:$D$166="Hybrid")*('Monthly Occurrences (Support)'!$K$4:$K$166))</f>
        <v>0</v>
      </c>
      <c r="G60" s="7">
        <f>SUMPRODUCT(('Monthly Occurrences (Support)'!$C$4:$C$166=$A60)*('Monthly Occurrences (Support)'!$D$4:$D$166="Hybrid")*('Monthly Occurrences (Support)'!$L$4:$L$166))</f>
        <v>0</v>
      </c>
      <c r="H60" s="7">
        <f>SUMPRODUCT(('Monthly Occurrences (Support)'!$C$4:$C$166=$A60)*('Monthly Occurrences (Support)'!$D$4:$D$166="Hybrid")*('Monthly Occurrences (Support)'!$M$4:$M$166))</f>
        <v>8</v>
      </c>
      <c r="I60" s="7">
        <f>SUMPRODUCT(('Monthly Occurrences (Support)'!$C$4:$C$166=$A60)*('Monthly Occurrences (Support)'!$D$4:$D$166="Hybrid")*('Monthly Occurrences (Support)'!$N$4:$N$166))</f>
        <v>8</v>
      </c>
      <c r="J60" s="7">
        <f>SUMPRODUCT(('Monthly Occurrences (Support)'!$C$4:$C$166=$A60)*('Monthly Occurrences (Support)'!$D$4:$D$166="Hybrid")*('Monthly Occurrences (Support)'!$O$4:$O$166))</f>
        <v>8</v>
      </c>
      <c r="K60" s="7">
        <f>SUMPRODUCT(('Monthly Occurrences (Support)'!$C$4:$C$166=$A60)*('Monthly Occurrences (Support)'!$D$4:$D$166="Hybrid")*('Monthly Occurrences (Support)'!$P$4:$P$166))</f>
        <v>10</v>
      </c>
      <c r="L60" s="7">
        <f>SUMPRODUCT(('Monthly Occurrences (Support)'!$C$4:$C$166=$A60)*('Monthly Occurrences (Support)'!$D$4:$D$166="Hybrid")*('Monthly Occurrences (Support)'!$Q$4:$Q$166))</f>
        <v>8</v>
      </c>
      <c r="M60" s="7">
        <f>SUMPRODUCT(('Monthly Occurrences (Support)'!$C$4:$C$166=$A60)*('Monthly Occurrences (Support)'!$D$4:$D$166="Hybrid")*('Monthly Occurrences (Support)'!$R$4:$R$166))</f>
        <v>6</v>
      </c>
      <c r="N60" s="7">
        <f>SUMPRODUCT(('Monthly Occurrences (Support)'!$C$4:$C$166=$A60)*('Monthly Occurrences (Support)'!$D$4:$D$166="Hybrid")*('Monthly Occurrences (Support)'!$S$4:$S$166))</f>
        <v>0</v>
      </c>
      <c r="O60" s="7">
        <f>SUMPRODUCT(('Monthly Occurrences (Support)'!$C$4:$C$166=$A60)*('Monthly Occurrences (Support)'!$D$4:$D$166="Hybrid")*('Monthly Occurrences (Support)'!$T$4:$T$166))</f>
        <v>0</v>
      </c>
      <c r="P60" s="7">
        <f>SUMPRODUCT(('Monthly Occurrences (Support)'!$C$4:$C$166=$A60)*('Monthly Occurrences (Support)'!$D$4:$D$166="Hybrid")*('Monthly Occurrences (Support)'!$U$4:$U$166))</f>
        <v>0</v>
      </c>
      <c r="Q60" s="7">
        <f>SUMPRODUCT(('Monthly Occurrences (Support)'!$C$4:$C$166=$A60)*('Monthly Occurrences (Support)'!$D$4:$D$166="Hybrid")*('Monthly Occurrences (Support)'!$V$4:$V$166))</f>
        <v>0</v>
      </c>
      <c r="R60" s="7">
        <f>SUMPRODUCT(('Monthly Occurrences (Support)'!$C$4:$C$166=$A60)*('Monthly Occurrences (Support)'!$D$4:$D$166="Hybrid")*('Monthly Occurrences (Support)'!$W$4:$W$166))</f>
        <v>0</v>
      </c>
      <c r="S60" s="7">
        <f>SUMPRODUCT(('Monthly Occurrences (Support)'!$C$4:$C$166=$A60)*('Monthly Occurrences (Support)'!$D$4:$D$166="Hybrid")*('Monthly Occurrences (Support)'!$X$4:$X$166))</f>
        <v>0</v>
      </c>
      <c r="T60" s="7">
        <f>SUMPRODUCT(('Monthly Occurrences (Support)'!$C$4:$C$166=$A60)*('Monthly Occurrences (Support)'!$D$4:$D$166="Hybrid")*('Monthly Occurrences (Support)'!$Y$4:$Y$166))</f>
        <v>0</v>
      </c>
      <c r="U60" s="7">
        <f>SUMPRODUCT(('Monthly Occurrences (Support)'!$C$4:$C$166=$A60)*('Monthly Occurrences (Support)'!$D$4:$D$166="Hybrid")*('Monthly Occurrences (Support)'!$Z$4:$Z$166))</f>
        <v>0</v>
      </c>
      <c r="V60" s="7">
        <f>SUMPRODUCT(('Monthly Occurrences (Support)'!$C$4:$C$166=$A60)*('Monthly Occurrences (Support)'!$D$4:$D$166="Hybrid")*('Monthly Occurrences (Support)'!$AA$4:$AA$166))</f>
        <v>0</v>
      </c>
      <c r="W60" s="7">
        <f>SUMPRODUCT(('Monthly Occurrences (Support)'!$C$4:$C$166=$A60)*('Monthly Occurrences (Support)'!$D$4:$D$166="Hybrid")*('Monthly Occurrences (Support)'!$AB$4:$AB$166))</f>
        <v>0</v>
      </c>
    </row>
    <row r="61" spans="1:23" x14ac:dyDescent="0.25">
      <c r="A61" s="15" t="s">
        <v>58</v>
      </c>
      <c r="B61" s="4">
        <f>SUMPRODUCT(('Monthly Occurrences (Support)'!$C$4:$C$166=$A61)*('Monthly Occurrences (Support)'!$D$4:$D$166="Hybrid")*('Monthly Occurrences (Support)'!$G$4:$G$166))</f>
        <v>0</v>
      </c>
      <c r="C61" s="4">
        <f>SUMPRODUCT(('Monthly Occurrences (Support)'!$C$4:$C$166=$A61)*('Monthly Occurrences (Support)'!$D$4:$D$166="Hybrid")*('Monthly Occurrences (Support)'!$H$4:$H$166))</f>
        <v>0</v>
      </c>
      <c r="D61" s="4">
        <f>SUMPRODUCT(('Monthly Occurrences (Support)'!$C$4:$C$166=$A61)*('Monthly Occurrences (Support)'!$D$4:$D$166="Hybrid")*('Monthly Occurrences (Support)'!$I$4:$I$166))</f>
        <v>0</v>
      </c>
      <c r="E61" s="4">
        <f>SUMPRODUCT(('Monthly Occurrences (Support)'!$C$4:$C$166=$A61)*('Monthly Occurrences (Support)'!$D$4:$D$166="Hybrid")*('Monthly Occurrences (Support)'!$J$4:$J$166))</f>
        <v>0</v>
      </c>
      <c r="F61" s="4">
        <f>SUMPRODUCT(('Monthly Occurrences (Support)'!$C$4:$C$166=$A61)*('Monthly Occurrences (Support)'!$D$4:$D$166="Hybrid")*('Monthly Occurrences (Support)'!$K$4:$K$166))</f>
        <v>0</v>
      </c>
      <c r="G61" s="4">
        <f>SUMPRODUCT(('Monthly Occurrences (Support)'!$C$4:$C$166=$A61)*('Monthly Occurrences (Support)'!$D$4:$D$166="Hybrid")*('Monthly Occurrences (Support)'!$L$4:$L$166))</f>
        <v>0</v>
      </c>
      <c r="H61" s="4">
        <f>SUMPRODUCT(('Monthly Occurrences (Support)'!$C$4:$C$166=$A61)*('Monthly Occurrences (Support)'!$D$4:$D$166="Hybrid")*('Monthly Occurrences (Support)'!$M$4:$M$166))</f>
        <v>0</v>
      </c>
      <c r="I61" s="4">
        <f>SUMPRODUCT(('Monthly Occurrences (Support)'!$C$4:$C$166=$A61)*('Monthly Occurrences (Support)'!$D$4:$D$166="Hybrid")*('Monthly Occurrences (Support)'!$N$4:$N$166))</f>
        <v>0</v>
      </c>
      <c r="J61" s="4">
        <f>SUMPRODUCT(('Monthly Occurrences (Support)'!$C$4:$C$166=$A61)*('Monthly Occurrences (Support)'!$D$4:$D$166="Hybrid")*('Monthly Occurrences (Support)'!$O$4:$O$166))</f>
        <v>0</v>
      </c>
      <c r="K61" s="4">
        <f>SUMPRODUCT(('Monthly Occurrences (Support)'!$C$4:$C$166=$A61)*('Monthly Occurrences (Support)'!$D$4:$D$166="Hybrid")*('Monthly Occurrences (Support)'!$P$4:$P$166))</f>
        <v>0</v>
      </c>
      <c r="L61" s="4">
        <f>SUMPRODUCT(('Monthly Occurrences (Support)'!$C$4:$C$166=$A61)*('Monthly Occurrences (Support)'!$D$4:$D$166="Hybrid")*('Monthly Occurrences (Support)'!$Q$4:$Q$166))</f>
        <v>0</v>
      </c>
      <c r="M61" s="4">
        <f>SUMPRODUCT(('Monthly Occurrences (Support)'!$C$4:$C$166=$A61)*('Monthly Occurrences (Support)'!$D$4:$D$166="Hybrid")*('Monthly Occurrences (Support)'!$R$4:$R$166))</f>
        <v>0</v>
      </c>
      <c r="N61" s="4">
        <f>SUMPRODUCT(('Monthly Occurrences (Support)'!$C$4:$C$166=$A61)*('Monthly Occurrences (Support)'!$D$4:$D$166="Hybrid")*('Monthly Occurrences (Support)'!$S$4:$S$166))</f>
        <v>0</v>
      </c>
      <c r="O61" s="4">
        <f>SUMPRODUCT(('Monthly Occurrences (Support)'!$C$4:$C$166=$A61)*('Monthly Occurrences (Support)'!$D$4:$D$166="Hybrid")*('Monthly Occurrences (Support)'!$T$4:$T$166))</f>
        <v>0</v>
      </c>
      <c r="P61" s="4">
        <f>SUMPRODUCT(('Monthly Occurrences (Support)'!$C$4:$C$166=$A61)*('Monthly Occurrences (Support)'!$D$4:$D$166="Hybrid")*('Monthly Occurrences (Support)'!$U$4:$U$166))</f>
        <v>0</v>
      </c>
      <c r="Q61" s="4">
        <f>SUMPRODUCT(('Monthly Occurrences (Support)'!$C$4:$C$166=$A61)*('Monthly Occurrences (Support)'!$D$4:$D$166="Hybrid")*('Monthly Occurrences (Support)'!$V$4:$V$166))</f>
        <v>0</v>
      </c>
      <c r="R61" s="4">
        <f>SUMPRODUCT(('Monthly Occurrences (Support)'!$C$4:$C$166=$A61)*('Monthly Occurrences (Support)'!$D$4:$D$166="Hybrid")*('Monthly Occurrences (Support)'!$W$4:$W$166))</f>
        <v>0</v>
      </c>
      <c r="S61" s="4">
        <f>SUMPRODUCT(('Monthly Occurrences (Support)'!$C$4:$C$166=$A61)*('Monthly Occurrences (Support)'!$D$4:$D$166="Hybrid")*('Monthly Occurrences (Support)'!$X$4:$X$166))</f>
        <v>0</v>
      </c>
      <c r="T61" s="4">
        <f>SUMPRODUCT(('Monthly Occurrences (Support)'!$C$4:$C$166=$A61)*('Monthly Occurrences (Support)'!$D$4:$D$166="Hybrid")*('Monthly Occurrences (Support)'!$Y$4:$Y$166))</f>
        <v>0</v>
      </c>
      <c r="U61" s="4">
        <f>SUMPRODUCT(('Monthly Occurrences (Support)'!$C$4:$C$166=$A61)*('Monthly Occurrences (Support)'!$D$4:$D$166="Hybrid")*('Monthly Occurrences (Support)'!$Z$4:$Z$166))</f>
        <v>0</v>
      </c>
      <c r="V61" s="4">
        <f>SUMPRODUCT(('Monthly Occurrences (Support)'!$C$4:$C$166=$A61)*('Monthly Occurrences (Support)'!$D$4:$D$166="Hybrid")*('Monthly Occurrences (Support)'!$AA$4:$AA$166))</f>
        <v>0</v>
      </c>
      <c r="W61" s="4">
        <f>SUMPRODUCT(('Monthly Occurrences (Support)'!$C$4:$C$166=$A61)*('Monthly Occurrences (Support)'!$D$4:$D$166="Hybrid")*('Monthly Occurrences (Support)'!$AB$4:$AB$166))</f>
        <v>0</v>
      </c>
    </row>
    <row r="62" spans="1:23" x14ac:dyDescent="0.25">
      <c r="A62" s="16" t="s">
        <v>59</v>
      </c>
      <c r="B62" s="7">
        <f>SUMPRODUCT(('Monthly Occurrences (Support)'!$C$4:$C$166=$A62)*('Monthly Occurrences (Support)'!$D$4:$D$166="Hybrid")*('Monthly Occurrences (Support)'!$G$4:$G$166))</f>
        <v>0</v>
      </c>
      <c r="C62" s="7">
        <f>SUMPRODUCT(('Monthly Occurrences (Support)'!$C$4:$C$166=$A62)*('Monthly Occurrences (Support)'!$D$4:$D$166="Hybrid")*('Monthly Occurrences (Support)'!$H$4:$H$166))</f>
        <v>0</v>
      </c>
      <c r="D62" s="7">
        <f>SUMPRODUCT(('Monthly Occurrences (Support)'!$C$4:$C$166=$A62)*('Monthly Occurrences (Support)'!$D$4:$D$166="Hybrid")*('Monthly Occurrences (Support)'!$I$4:$I$166))</f>
        <v>0</v>
      </c>
      <c r="E62" s="7">
        <f>SUMPRODUCT(('Monthly Occurrences (Support)'!$C$4:$C$166=$A62)*('Monthly Occurrences (Support)'!$D$4:$D$166="Hybrid")*('Monthly Occurrences (Support)'!$J$4:$J$166))</f>
        <v>0</v>
      </c>
      <c r="F62" s="7">
        <f>SUMPRODUCT(('Monthly Occurrences (Support)'!$C$4:$C$166=$A62)*('Monthly Occurrences (Support)'!$D$4:$D$166="Hybrid")*('Monthly Occurrences (Support)'!$K$4:$K$166))</f>
        <v>0</v>
      </c>
      <c r="G62" s="7">
        <f>SUMPRODUCT(('Monthly Occurrences (Support)'!$C$4:$C$166=$A62)*('Monthly Occurrences (Support)'!$D$4:$D$166="Hybrid")*('Monthly Occurrences (Support)'!$L$4:$L$166))</f>
        <v>0</v>
      </c>
      <c r="H62" s="7">
        <f>SUMPRODUCT(('Monthly Occurrences (Support)'!$C$4:$C$166=$A62)*('Monthly Occurrences (Support)'!$D$4:$D$166="Hybrid")*('Monthly Occurrences (Support)'!$M$4:$M$166))</f>
        <v>0</v>
      </c>
      <c r="I62" s="7">
        <f>SUMPRODUCT(('Monthly Occurrences (Support)'!$C$4:$C$166=$A62)*('Monthly Occurrences (Support)'!$D$4:$D$166="Hybrid")*('Monthly Occurrences (Support)'!$N$4:$N$166))</f>
        <v>0</v>
      </c>
      <c r="J62" s="7">
        <f>SUMPRODUCT(('Monthly Occurrences (Support)'!$C$4:$C$166=$A62)*('Monthly Occurrences (Support)'!$D$4:$D$166="Hybrid")*('Monthly Occurrences (Support)'!$O$4:$O$166))</f>
        <v>0</v>
      </c>
      <c r="K62" s="7">
        <f>SUMPRODUCT(('Monthly Occurrences (Support)'!$C$4:$C$166=$A62)*('Monthly Occurrences (Support)'!$D$4:$D$166="Hybrid")*('Monthly Occurrences (Support)'!$P$4:$P$166))</f>
        <v>0</v>
      </c>
      <c r="L62" s="7">
        <f>SUMPRODUCT(('Monthly Occurrences (Support)'!$C$4:$C$166=$A62)*('Monthly Occurrences (Support)'!$D$4:$D$166="Hybrid")*('Monthly Occurrences (Support)'!$Q$4:$Q$166))</f>
        <v>0</v>
      </c>
      <c r="M62" s="7">
        <f>SUMPRODUCT(('Monthly Occurrences (Support)'!$C$4:$C$166=$A62)*('Monthly Occurrences (Support)'!$D$4:$D$166="Hybrid")*('Monthly Occurrences (Support)'!$R$4:$R$166))</f>
        <v>0</v>
      </c>
      <c r="N62" s="7">
        <f>SUMPRODUCT(('Monthly Occurrences (Support)'!$C$4:$C$166=$A62)*('Monthly Occurrences (Support)'!$D$4:$D$166="Hybrid")*('Monthly Occurrences (Support)'!$S$4:$S$166))</f>
        <v>0</v>
      </c>
      <c r="O62" s="7">
        <f>SUMPRODUCT(('Monthly Occurrences (Support)'!$C$4:$C$166=$A62)*('Monthly Occurrences (Support)'!$D$4:$D$166="Hybrid")*('Monthly Occurrences (Support)'!$T$4:$T$166))</f>
        <v>0</v>
      </c>
      <c r="P62" s="7">
        <f>SUMPRODUCT(('Monthly Occurrences (Support)'!$C$4:$C$166=$A62)*('Monthly Occurrences (Support)'!$D$4:$D$166="Hybrid")*('Monthly Occurrences (Support)'!$U$4:$U$166))</f>
        <v>0</v>
      </c>
      <c r="Q62" s="7">
        <f>SUMPRODUCT(('Monthly Occurrences (Support)'!$C$4:$C$166=$A62)*('Monthly Occurrences (Support)'!$D$4:$D$166="Hybrid")*('Monthly Occurrences (Support)'!$V$4:$V$166))</f>
        <v>0</v>
      </c>
      <c r="R62" s="7">
        <f>SUMPRODUCT(('Monthly Occurrences (Support)'!$C$4:$C$166=$A62)*('Monthly Occurrences (Support)'!$D$4:$D$166="Hybrid")*('Monthly Occurrences (Support)'!$W$4:$W$166))</f>
        <v>0</v>
      </c>
      <c r="S62" s="7">
        <f>SUMPRODUCT(('Monthly Occurrences (Support)'!$C$4:$C$166=$A62)*('Monthly Occurrences (Support)'!$D$4:$D$166="Hybrid")*('Monthly Occurrences (Support)'!$X$4:$X$166))</f>
        <v>0</v>
      </c>
      <c r="T62" s="7">
        <f>SUMPRODUCT(('Monthly Occurrences (Support)'!$C$4:$C$166=$A62)*('Monthly Occurrences (Support)'!$D$4:$D$166="Hybrid")*('Monthly Occurrences (Support)'!$Y$4:$Y$166))</f>
        <v>0</v>
      </c>
      <c r="U62" s="7">
        <f>SUMPRODUCT(('Monthly Occurrences (Support)'!$C$4:$C$166=$A62)*('Monthly Occurrences (Support)'!$D$4:$D$166="Hybrid")*('Monthly Occurrences (Support)'!$Z$4:$Z$166))</f>
        <v>0</v>
      </c>
      <c r="V62" s="7">
        <f>SUMPRODUCT(('Monthly Occurrences (Support)'!$C$4:$C$166=$A62)*('Monthly Occurrences (Support)'!$D$4:$D$166="Hybrid")*('Monthly Occurrences (Support)'!$AA$4:$AA$166))</f>
        <v>0</v>
      </c>
      <c r="W62" s="7">
        <f>SUMPRODUCT(('Monthly Occurrences (Support)'!$C$4:$C$166=$A62)*('Monthly Occurrences (Support)'!$D$4:$D$166="Hybrid")*('Monthly Occurrences (Support)'!$AB$4:$AB$166))</f>
        <v>0</v>
      </c>
    </row>
    <row r="63" spans="1:23" x14ac:dyDescent="0.25">
      <c r="A63" s="17" t="s">
        <v>63</v>
      </c>
      <c r="B63" s="5">
        <f t="shared" ref="B63:W63" si="2">COUNTIF(B37:B62,"&gt;0")</f>
        <v>0</v>
      </c>
      <c r="C63" s="5">
        <f t="shared" si="2"/>
        <v>0</v>
      </c>
      <c r="D63" s="5">
        <f t="shared" si="2"/>
        <v>0</v>
      </c>
      <c r="E63" s="5">
        <f t="shared" si="2"/>
        <v>0</v>
      </c>
      <c r="F63" s="5">
        <f t="shared" si="2"/>
        <v>1</v>
      </c>
      <c r="G63" s="5">
        <f t="shared" si="2"/>
        <v>4</v>
      </c>
      <c r="H63" s="5">
        <f t="shared" si="2"/>
        <v>7</v>
      </c>
      <c r="I63" s="5">
        <f t="shared" si="2"/>
        <v>12</v>
      </c>
      <c r="J63" s="5">
        <f t="shared" si="2"/>
        <v>12</v>
      </c>
      <c r="K63" s="5">
        <f t="shared" si="2"/>
        <v>12</v>
      </c>
      <c r="L63" s="5">
        <f t="shared" si="2"/>
        <v>9</v>
      </c>
      <c r="M63" s="5">
        <f t="shared" si="2"/>
        <v>2</v>
      </c>
      <c r="N63" s="5">
        <f t="shared" si="2"/>
        <v>1</v>
      </c>
      <c r="O63" s="5">
        <f t="shared" si="2"/>
        <v>1</v>
      </c>
      <c r="P63" s="5">
        <f t="shared" si="2"/>
        <v>0</v>
      </c>
      <c r="Q63" s="5">
        <f t="shared" si="2"/>
        <v>0</v>
      </c>
      <c r="R63" s="5">
        <f t="shared" si="2"/>
        <v>0</v>
      </c>
      <c r="S63" s="5">
        <f t="shared" si="2"/>
        <v>0</v>
      </c>
      <c r="T63" s="5">
        <f t="shared" si="2"/>
        <v>0</v>
      </c>
      <c r="U63" s="5">
        <f t="shared" si="2"/>
        <v>0</v>
      </c>
      <c r="V63" s="5">
        <f t="shared" si="2"/>
        <v>0</v>
      </c>
      <c r="W63" s="5">
        <f t="shared" si="2"/>
        <v>0</v>
      </c>
    </row>
    <row r="64" spans="1:23" x14ac:dyDescent="0.25">
      <c r="A64" s="18" t="s">
        <v>64</v>
      </c>
      <c r="B64" s="19">
        <f t="shared" ref="B64:W64" si="3">26-B63</f>
        <v>26</v>
      </c>
      <c r="C64" s="19">
        <f t="shared" si="3"/>
        <v>26</v>
      </c>
      <c r="D64" s="19">
        <f t="shared" si="3"/>
        <v>26</v>
      </c>
      <c r="E64" s="19">
        <f t="shared" si="3"/>
        <v>26</v>
      </c>
      <c r="F64" s="19">
        <f t="shared" si="3"/>
        <v>25</v>
      </c>
      <c r="G64" s="19">
        <f t="shared" si="3"/>
        <v>22</v>
      </c>
      <c r="H64" s="19">
        <f t="shared" si="3"/>
        <v>19</v>
      </c>
      <c r="I64" s="19">
        <f t="shared" si="3"/>
        <v>14</v>
      </c>
      <c r="J64" s="19">
        <f t="shared" si="3"/>
        <v>14</v>
      </c>
      <c r="K64" s="19">
        <f t="shared" si="3"/>
        <v>14</v>
      </c>
      <c r="L64" s="19">
        <f t="shared" si="3"/>
        <v>17</v>
      </c>
      <c r="M64" s="19">
        <f t="shared" si="3"/>
        <v>24</v>
      </c>
      <c r="N64" s="19">
        <f t="shared" si="3"/>
        <v>25</v>
      </c>
      <c r="O64" s="19">
        <f t="shared" si="3"/>
        <v>25</v>
      </c>
      <c r="P64" s="19">
        <f t="shared" si="3"/>
        <v>26</v>
      </c>
      <c r="Q64" s="19">
        <f t="shared" si="3"/>
        <v>26</v>
      </c>
      <c r="R64" s="19">
        <f t="shared" si="3"/>
        <v>26</v>
      </c>
      <c r="S64" s="19">
        <f t="shared" si="3"/>
        <v>26</v>
      </c>
      <c r="T64" s="19">
        <f t="shared" si="3"/>
        <v>26</v>
      </c>
      <c r="U64" s="19">
        <f t="shared" si="3"/>
        <v>26</v>
      </c>
      <c r="V64" s="19">
        <f t="shared" si="3"/>
        <v>26</v>
      </c>
      <c r="W64" s="19">
        <f t="shared" si="3"/>
        <v>26</v>
      </c>
    </row>
    <row r="66" spans="1:23" x14ac:dyDescent="0.25">
      <c r="A66" s="61" t="s">
        <v>65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</row>
    <row r="67" spans="1:23" ht="15.75" customHeight="1" x14ac:dyDescent="0.25">
      <c r="A67" s="13" t="s">
        <v>33</v>
      </c>
      <c r="B67" s="14">
        <v>45962</v>
      </c>
      <c r="C67" s="14">
        <v>45992</v>
      </c>
      <c r="D67" s="14">
        <v>46023</v>
      </c>
      <c r="E67" s="14">
        <v>46054</v>
      </c>
      <c r="F67" s="14">
        <v>46082</v>
      </c>
      <c r="G67" s="14">
        <v>46113</v>
      </c>
      <c r="H67" s="14">
        <v>46143</v>
      </c>
      <c r="I67" s="14">
        <v>46174</v>
      </c>
      <c r="J67" s="14">
        <v>46204</v>
      </c>
      <c r="K67" s="14">
        <v>46235</v>
      </c>
      <c r="L67" s="14">
        <v>46266</v>
      </c>
      <c r="M67" s="14">
        <v>46296</v>
      </c>
      <c r="N67" s="14">
        <v>46327</v>
      </c>
      <c r="O67" s="14">
        <v>46357</v>
      </c>
      <c r="P67" s="14">
        <v>46388</v>
      </c>
      <c r="Q67" s="14">
        <v>46419</v>
      </c>
      <c r="R67" s="14">
        <v>46447</v>
      </c>
      <c r="S67" s="14">
        <v>46478</v>
      </c>
      <c r="T67" s="14">
        <v>46508</v>
      </c>
      <c r="U67" s="14">
        <v>46539</v>
      </c>
      <c r="V67" s="14">
        <v>46569</v>
      </c>
      <c r="W67" s="14">
        <v>46600</v>
      </c>
    </row>
    <row r="68" spans="1:23" x14ac:dyDescent="0.25">
      <c r="A68" s="15" t="s">
        <v>34</v>
      </c>
      <c r="B68" s="4">
        <f>SUMPRODUCT(('Monthly Occurrences (Support)'!$C$4:$C$166=$A68)*('Monthly Occurrences (Support)'!$D$4:$D$166="Online")*('Monthly Occurrences (Support)'!$G$4:$G$166))</f>
        <v>0</v>
      </c>
      <c r="C68" s="4">
        <f>SUMPRODUCT(('Monthly Occurrences (Support)'!$C$4:$C$166=$A68)*('Monthly Occurrences (Support)'!$D$4:$D$166="Online")*('Monthly Occurrences (Support)'!$H$4:$H$166))</f>
        <v>0</v>
      </c>
      <c r="D68" s="4">
        <f>SUMPRODUCT(('Monthly Occurrences (Support)'!$C$4:$C$166=$A68)*('Monthly Occurrences (Support)'!$D$4:$D$166="Online")*('Monthly Occurrences (Support)'!$I$4:$I$166))</f>
        <v>0</v>
      </c>
      <c r="E68" s="4">
        <f>SUMPRODUCT(('Monthly Occurrences (Support)'!$C$4:$C$166=$A68)*('Monthly Occurrences (Support)'!$D$4:$D$166="Online")*('Monthly Occurrences (Support)'!$J$4:$J$166))</f>
        <v>0</v>
      </c>
      <c r="F68" s="4">
        <f>SUMPRODUCT(('Monthly Occurrences (Support)'!$C$4:$C$166=$A68)*('Monthly Occurrences (Support)'!$D$4:$D$166="Online")*('Monthly Occurrences (Support)'!$K$4:$K$166))</f>
        <v>0</v>
      </c>
      <c r="G68" s="4">
        <f>SUMPRODUCT(('Monthly Occurrences (Support)'!$C$4:$C$166=$A68)*('Monthly Occurrences (Support)'!$D$4:$D$166="Online")*('Monthly Occurrences (Support)'!$L$4:$L$166))</f>
        <v>0</v>
      </c>
      <c r="H68" s="4">
        <f>SUMPRODUCT(('Monthly Occurrences (Support)'!$C$4:$C$166=$A68)*('Monthly Occurrences (Support)'!$D$4:$D$166="Online")*('Monthly Occurrences (Support)'!$M$4:$M$166))</f>
        <v>0</v>
      </c>
      <c r="I68" s="4">
        <f>SUMPRODUCT(('Monthly Occurrences (Support)'!$C$4:$C$166=$A68)*('Monthly Occurrences (Support)'!$D$4:$D$166="Online")*('Monthly Occurrences (Support)'!$N$4:$N$166))</f>
        <v>0</v>
      </c>
      <c r="J68" s="4">
        <f>SUMPRODUCT(('Monthly Occurrences (Support)'!$C$4:$C$166=$A68)*('Monthly Occurrences (Support)'!$D$4:$D$166="Online")*('Monthly Occurrences (Support)'!$O$4:$O$166))</f>
        <v>0</v>
      </c>
      <c r="K68" s="4">
        <f>SUMPRODUCT(('Monthly Occurrences (Support)'!$C$4:$C$166=$A68)*('Monthly Occurrences (Support)'!$D$4:$D$166="Online")*('Monthly Occurrences (Support)'!$P$4:$P$166))</f>
        <v>0</v>
      </c>
      <c r="L68" s="4">
        <f>SUMPRODUCT(('Monthly Occurrences (Support)'!$C$4:$C$166=$A68)*('Monthly Occurrences (Support)'!$D$4:$D$166="Online")*('Monthly Occurrences (Support)'!$Q$4:$Q$166))</f>
        <v>0</v>
      </c>
      <c r="M68" s="4">
        <f>SUMPRODUCT(('Monthly Occurrences (Support)'!$C$4:$C$166=$A68)*('Monthly Occurrences (Support)'!$D$4:$D$166="Online")*('Monthly Occurrences (Support)'!$R$4:$R$166))</f>
        <v>0</v>
      </c>
      <c r="N68" s="4">
        <f>SUMPRODUCT(('Monthly Occurrences (Support)'!$C$4:$C$166=$A68)*('Monthly Occurrences (Support)'!$D$4:$D$166="Online")*('Monthly Occurrences (Support)'!$S$4:$S$166))</f>
        <v>0</v>
      </c>
      <c r="O68" s="4">
        <f>SUMPRODUCT(('Monthly Occurrences (Support)'!$C$4:$C$166=$A68)*('Monthly Occurrences (Support)'!$D$4:$D$166="Online")*('Monthly Occurrences (Support)'!$T$4:$T$166))</f>
        <v>0</v>
      </c>
      <c r="P68" s="4">
        <f>SUMPRODUCT(('Monthly Occurrences (Support)'!$C$4:$C$166=$A68)*('Monthly Occurrences (Support)'!$D$4:$D$166="Online")*('Monthly Occurrences (Support)'!$U$4:$U$166))</f>
        <v>0</v>
      </c>
      <c r="Q68" s="4">
        <f>SUMPRODUCT(('Monthly Occurrences (Support)'!$C$4:$C$166=$A68)*('Monthly Occurrences (Support)'!$D$4:$D$166="Online")*('Monthly Occurrences (Support)'!$V$4:$V$166))</f>
        <v>0</v>
      </c>
      <c r="R68" s="4">
        <f>SUMPRODUCT(('Monthly Occurrences (Support)'!$C$4:$C$166=$A68)*('Monthly Occurrences (Support)'!$D$4:$D$166="Online")*('Monthly Occurrences (Support)'!$W$4:$W$166))</f>
        <v>0</v>
      </c>
      <c r="S68" s="4">
        <f>SUMPRODUCT(('Monthly Occurrences (Support)'!$C$4:$C$166=$A68)*('Monthly Occurrences (Support)'!$D$4:$D$166="Online")*('Monthly Occurrences (Support)'!$X$4:$X$166))</f>
        <v>0</v>
      </c>
      <c r="T68" s="4">
        <f>SUMPRODUCT(('Monthly Occurrences (Support)'!$C$4:$C$166=$A68)*('Monthly Occurrences (Support)'!$D$4:$D$166="Online")*('Monthly Occurrences (Support)'!$Y$4:$Y$166))</f>
        <v>0</v>
      </c>
      <c r="U68" s="4">
        <f>SUMPRODUCT(('Monthly Occurrences (Support)'!$C$4:$C$166=$A68)*('Monthly Occurrences (Support)'!$D$4:$D$166="Online")*('Monthly Occurrences (Support)'!$Z$4:$Z$166))</f>
        <v>0</v>
      </c>
      <c r="V68" s="4">
        <f>SUMPRODUCT(('Monthly Occurrences (Support)'!$C$4:$C$166=$A68)*('Monthly Occurrences (Support)'!$D$4:$D$166="Online")*('Monthly Occurrences (Support)'!$AA$4:$AA$166))</f>
        <v>0</v>
      </c>
      <c r="W68" s="4">
        <f>SUMPRODUCT(('Monthly Occurrences (Support)'!$C$4:$C$166=$A68)*('Monthly Occurrences (Support)'!$D$4:$D$166="Online")*('Monthly Occurrences (Support)'!$AB$4:$AB$166))</f>
        <v>0</v>
      </c>
    </row>
    <row r="69" spans="1:23" x14ac:dyDescent="0.25">
      <c r="A69" s="16" t="s">
        <v>35</v>
      </c>
      <c r="B69" s="7">
        <f>SUMPRODUCT(('Monthly Occurrences (Support)'!$C$4:$C$166=$A69)*('Monthly Occurrences (Support)'!$D$4:$D$166="Online")*('Monthly Occurrences (Support)'!$G$4:$G$166))</f>
        <v>0</v>
      </c>
      <c r="C69" s="7">
        <f>SUMPRODUCT(('Monthly Occurrences (Support)'!$C$4:$C$166=$A69)*('Monthly Occurrences (Support)'!$D$4:$D$166="Online")*('Monthly Occurrences (Support)'!$H$4:$H$166))</f>
        <v>0</v>
      </c>
      <c r="D69" s="7">
        <f>SUMPRODUCT(('Monthly Occurrences (Support)'!$C$4:$C$166=$A69)*('Monthly Occurrences (Support)'!$D$4:$D$166="Online")*('Monthly Occurrences (Support)'!$I$4:$I$166))</f>
        <v>0</v>
      </c>
      <c r="E69" s="7">
        <f>SUMPRODUCT(('Monthly Occurrences (Support)'!$C$4:$C$166=$A69)*('Monthly Occurrences (Support)'!$D$4:$D$166="Online")*('Monthly Occurrences (Support)'!$J$4:$J$166))</f>
        <v>0</v>
      </c>
      <c r="F69" s="7">
        <f>SUMPRODUCT(('Monthly Occurrences (Support)'!$C$4:$C$166=$A69)*('Monthly Occurrences (Support)'!$D$4:$D$166="Online")*('Monthly Occurrences (Support)'!$K$4:$K$166))</f>
        <v>0</v>
      </c>
      <c r="G69" s="7">
        <f>SUMPRODUCT(('Monthly Occurrences (Support)'!$C$4:$C$166=$A69)*('Monthly Occurrences (Support)'!$D$4:$D$166="Online")*('Monthly Occurrences (Support)'!$L$4:$L$166))</f>
        <v>0</v>
      </c>
      <c r="H69" s="7">
        <f>SUMPRODUCT(('Monthly Occurrences (Support)'!$C$4:$C$166=$A69)*('Monthly Occurrences (Support)'!$D$4:$D$166="Online")*('Monthly Occurrences (Support)'!$M$4:$M$166))</f>
        <v>0</v>
      </c>
      <c r="I69" s="7">
        <f>SUMPRODUCT(('Monthly Occurrences (Support)'!$C$4:$C$166=$A69)*('Monthly Occurrences (Support)'!$D$4:$D$166="Online")*('Monthly Occurrences (Support)'!$N$4:$N$166))</f>
        <v>0</v>
      </c>
      <c r="J69" s="7">
        <f>SUMPRODUCT(('Monthly Occurrences (Support)'!$C$4:$C$166=$A69)*('Monthly Occurrences (Support)'!$D$4:$D$166="Online")*('Monthly Occurrences (Support)'!$O$4:$O$166))</f>
        <v>0</v>
      </c>
      <c r="K69" s="7">
        <f>SUMPRODUCT(('Monthly Occurrences (Support)'!$C$4:$C$166=$A69)*('Monthly Occurrences (Support)'!$D$4:$D$166="Online")*('Monthly Occurrences (Support)'!$P$4:$P$166))</f>
        <v>0</v>
      </c>
      <c r="L69" s="7">
        <f>SUMPRODUCT(('Monthly Occurrences (Support)'!$C$4:$C$166=$A69)*('Monthly Occurrences (Support)'!$D$4:$D$166="Online")*('Monthly Occurrences (Support)'!$Q$4:$Q$166))</f>
        <v>0</v>
      </c>
      <c r="M69" s="7">
        <f>SUMPRODUCT(('Monthly Occurrences (Support)'!$C$4:$C$166=$A69)*('Monthly Occurrences (Support)'!$D$4:$D$166="Online")*('Monthly Occurrences (Support)'!$R$4:$R$166))</f>
        <v>0</v>
      </c>
      <c r="N69" s="7">
        <f>SUMPRODUCT(('Monthly Occurrences (Support)'!$C$4:$C$166=$A69)*('Monthly Occurrences (Support)'!$D$4:$D$166="Online")*('Monthly Occurrences (Support)'!$S$4:$S$166))</f>
        <v>0</v>
      </c>
      <c r="O69" s="7">
        <f>SUMPRODUCT(('Monthly Occurrences (Support)'!$C$4:$C$166=$A69)*('Monthly Occurrences (Support)'!$D$4:$D$166="Online")*('Monthly Occurrences (Support)'!$T$4:$T$166))</f>
        <v>0</v>
      </c>
      <c r="P69" s="7">
        <f>SUMPRODUCT(('Monthly Occurrences (Support)'!$C$4:$C$166=$A69)*('Monthly Occurrences (Support)'!$D$4:$D$166="Online")*('Monthly Occurrences (Support)'!$U$4:$U$166))</f>
        <v>0</v>
      </c>
      <c r="Q69" s="7">
        <f>SUMPRODUCT(('Monthly Occurrences (Support)'!$C$4:$C$166=$A69)*('Monthly Occurrences (Support)'!$D$4:$D$166="Online")*('Monthly Occurrences (Support)'!$V$4:$V$166))</f>
        <v>0</v>
      </c>
      <c r="R69" s="7">
        <f>SUMPRODUCT(('Monthly Occurrences (Support)'!$C$4:$C$166=$A69)*('Monthly Occurrences (Support)'!$D$4:$D$166="Online")*('Monthly Occurrences (Support)'!$W$4:$W$166))</f>
        <v>0</v>
      </c>
      <c r="S69" s="7">
        <f>SUMPRODUCT(('Monthly Occurrences (Support)'!$C$4:$C$166=$A69)*('Monthly Occurrences (Support)'!$D$4:$D$166="Online")*('Monthly Occurrences (Support)'!$X$4:$X$166))</f>
        <v>0</v>
      </c>
      <c r="T69" s="7">
        <f>SUMPRODUCT(('Monthly Occurrences (Support)'!$C$4:$C$166=$A69)*('Monthly Occurrences (Support)'!$D$4:$D$166="Online")*('Monthly Occurrences (Support)'!$Y$4:$Y$166))</f>
        <v>0</v>
      </c>
      <c r="U69" s="7">
        <f>SUMPRODUCT(('Monthly Occurrences (Support)'!$C$4:$C$166=$A69)*('Monthly Occurrences (Support)'!$D$4:$D$166="Online")*('Monthly Occurrences (Support)'!$Z$4:$Z$166))</f>
        <v>0</v>
      </c>
      <c r="V69" s="7">
        <f>SUMPRODUCT(('Monthly Occurrences (Support)'!$C$4:$C$166=$A69)*('Monthly Occurrences (Support)'!$D$4:$D$166="Online")*('Monthly Occurrences (Support)'!$AA$4:$AA$166))</f>
        <v>0</v>
      </c>
      <c r="W69" s="7">
        <f>SUMPRODUCT(('Monthly Occurrences (Support)'!$C$4:$C$166=$A69)*('Monthly Occurrences (Support)'!$D$4:$D$166="Online")*('Monthly Occurrences (Support)'!$AB$4:$AB$166))</f>
        <v>0</v>
      </c>
    </row>
    <row r="70" spans="1:23" x14ac:dyDescent="0.25">
      <c r="A70" s="15" t="s">
        <v>36</v>
      </c>
      <c r="B70" s="4">
        <f>SUMPRODUCT(('Monthly Occurrences (Support)'!$C$4:$C$166=$A70)*('Monthly Occurrences (Support)'!$D$4:$D$166="Online")*('Monthly Occurrences (Support)'!$G$4:$G$166))</f>
        <v>0</v>
      </c>
      <c r="C70" s="4">
        <f>SUMPRODUCT(('Monthly Occurrences (Support)'!$C$4:$C$166=$A70)*('Monthly Occurrences (Support)'!$D$4:$D$166="Online")*('Monthly Occurrences (Support)'!$H$4:$H$166))</f>
        <v>0</v>
      </c>
      <c r="D70" s="4">
        <f>SUMPRODUCT(('Monthly Occurrences (Support)'!$C$4:$C$166=$A70)*('Monthly Occurrences (Support)'!$D$4:$D$166="Online")*('Monthly Occurrences (Support)'!$I$4:$I$166))</f>
        <v>0</v>
      </c>
      <c r="E70" s="4">
        <f>SUMPRODUCT(('Monthly Occurrences (Support)'!$C$4:$C$166=$A70)*('Monthly Occurrences (Support)'!$D$4:$D$166="Online")*('Monthly Occurrences (Support)'!$J$4:$J$166))</f>
        <v>0</v>
      </c>
      <c r="F70" s="4">
        <f>SUMPRODUCT(('Monthly Occurrences (Support)'!$C$4:$C$166=$A70)*('Monthly Occurrences (Support)'!$D$4:$D$166="Online")*('Monthly Occurrences (Support)'!$K$4:$K$166))</f>
        <v>0</v>
      </c>
      <c r="G70" s="4">
        <f>SUMPRODUCT(('Monthly Occurrences (Support)'!$C$4:$C$166=$A70)*('Monthly Occurrences (Support)'!$D$4:$D$166="Online")*('Monthly Occurrences (Support)'!$L$4:$L$166))</f>
        <v>0</v>
      </c>
      <c r="H70" s="4">
        <f>SUMPRODUCT(('Monthly Occurrences (Support)'!$C$4:$C$166=$A70)*('Monthly Occurrences (Support)'!$D$4:$D$166="Online")*('Monthly Occurrences (Support)'!$M$4:$M$166))</f>
        <v>0</v>
      </c>
      <c r="I70" s="4">
        <f>SUMPRODUCT(('Monthly Occurrences (Support)'!$C$4:$C$166=$A70)*('Monthly Occurrences (Support)'!$D$4:$D$166="Online")*('Monthly Occurrences (Support)'!$N$4:$N$166))</f>
        <v>0</v>
      </c>
      <c r="J70" s="4">
        <f>SUMPRODUCT(('Monthly Occurrences (Support)'!$C$4:$C$166=$A70)*('Monthly Occurrences (Support)'!$D$4:$D$166="Online")*('Monthly Occurrences (Support)'!$O$4:$O$166))</f>
        <v>0</v>
      </c>
      <c r="K70" s="4">
        <f>SUMPRODUCT(('Monthly Occurrences (Support)'!$C$4:$C$166=$A70)*('Monthly Occurrences (Support)'!$D$4:$D$166="Online")*('Monthly Occurrences (Support)'!$P$4:$P$166))</f>
        <v>0</v>
      </c>
      <c r="L70" s="4">
        <f>SUMPRODUCT(('Monthly Occurrences (Support)'!$C$4:$C$166=$A70)*('Monthly Occurrences (Support)'!$D$4:$D$166="Online")*('Monthly Occurrences (Support)'!$Q$4:$Q$166))</f>
        <v>0</v>
      </c>
      <c r="M70" s="4">
        <f>SUMPRODUCT(('Monthly Occurrences (Support)'!$C$4:$C$166=$A70)*('Monthly Occurrences (Support)'!$D$4:$D$166="Online")*('Monthly Occurrences (Support)'!$R$4:$R$166))</f>
        <v>0</v>
      </c>
      <c r="N70" s="4">
        <f>SUMPRODUCT(('Monthly Occurrences (Support)'!$C$4:$C$166=$A70)*('Monthly Occurrences (Support)'!$D$4:$D$166="Online")*('Monthly Occurrences (Support)'!$S$4:$S$166))</f>
        <v>0</v>
      </c>
      <c r="O70" s="4">
        <f>SUMPRODUCT(('Monthly Occurrences (Support)'!$C$4:$C$166=$A70)*('Monthly Occurrences (Support)'!$D$4:$D$166="Online")*('Monthly Occurrences (Support)'!$T$4:$T$166))</f>
        <v>0</v>
      </c>
      <c r="P70" s="4">
        <f>SUMPRODUCT(('Monthly Occurrences (Support)'!$C$4:$C$166=$A70)*('Monthly Occurrences (Support)'!$D$4:$D$166="Online")*('Monthly Occurrences (Support)'!$U$4:$U$166))</f>
        <v>0</v>
      </c>
      <c r="Q70" s="4">
        <f>SUMPRODUCT(('Monthly Occurrences (Support)'!$C$4:$C$166=$A70)*('Monthly Occurrences (Support)'!$D$4:$D$166="Online")*('Monthly Occurrences (Support)'!$V$4:$V$166))</f>
        <v>0</v>
      </c>
      <c r="R70" s="4">
        <f>SUMPRODUCT(('Monthly Occurrences (Support)'!$C$4:$C$166=$A70)*('Monthly Occurrences (Support)'!$D$4:$D$166="Online")*('Monthly Occurrences (Support)'!$W$4:$W$166))</f>
        <v>0</v>
      </c>
      <c r="S70" s="4">
        <f>SUMPRODUCT(('Monthly Occurrences (Support)'!$C$4:$C$166=$A70)*('Monthly Occurrences (Support)'!$D$4:$D$166="Online")*('Monthly Occurrences (Support)'!$X$4:$X$166))</f>
        <v>0</v>
      </c>
      <c r="T70" s="4">
        <f>SUMPRODUCT(('Monthly Occurrences (Support)'!$C$4:$C$166=$A70)*('Monthly Occurrences (Support)'!$D$4:$D$166="Online")*('Monthly Occurrences (Support)'!$Y$4:$Y$166))</f>
        <v>0</v>
      </c>
      <c r="U70" s="4">
        <f>SUMPRODUCT(('Monthly Occurrences (Support)'!$C$4:$C$166=$A70)*('Monthly Occurrences (Support)'!$D$4:$D$166="Online")*('Monthly Occurrences (Support)'!$Z$4:$Z$166))</f>
        <v>0</v>
      </c>
      <c r="V70" s="4">
        <f>SUMPRODUCT(('Monthly Occurrences (Support)'!$C$4:$C$166=$A70)*('Monthly Occurrences (Support)'!$D$4:$D$166="Online")*('Monthly Occurrences (Support)'!$AA$4:$AA$166))</f>
        <v>0</v>
      </c>
      <c r="W70" s="4">
        <f>SUMPRODUCT(('Monthly Occurrences (Support)'!$C$4:$C$166=$A70)*('Monthly Occurrences (Support)'!$D$4:$D$166="Online")*('Monthly Occurrences (Support)'!$AB$4:$AB$166))</f>
        <v>0</v>
      </c>
    </row>
    <row r="71" spans="1:23" x14ac:dyDescent="0.25">
      <c r="A71" s="16" t="s">
        <v>37</v>
      </c>
      <c r="B71" s="7">
        <f>SUMPRODUCT(('Monthly Occurrences (Support)'!$C$4:$C$166=$A71)*('Monthly Occurrences (Support)'!$D$4:$D$166="Online")*('Monthly Occurrences (Support)'!$G$4:$G$166))</f>
        <v>0</v>
      </c>
      <c r="C71" s="7">
        <f>SUMPRODUCT(('Monthly Occurrences (Support)'!$C$4:$C$166=$A71)*('Monthly Occurrences (Support)'!$D$4:$D$166="Online")*('Monthly Occurrences (Support)'!$H$4:$H$166))</f>
        <v>0</v>
      </c>
      <c r="D71" s="7">
        <f>SUMPRODUCT(('Monthly Occurrences (Support)'!$C$4:$C$166=$A71)*('Monthly Occurrences (Support)'!$D$4:$D$166="Online")*('Monthly Occurrences (Support)'!$I$4:$I$166))</f>
        <v>0</v>
      </c>
      <c r="E71" s="7">
        <f>SUMPRODUCT(('Monthly Occurrences (Support)'!$C$4:$C$166=$A71)*('Monthly Occurrences (Support)'!$D$4:$D$166="Online")*('Monthly Occurrences (Support)'!$J$4:$J$166))</f>
        <v>0</v>
      </c>
      <c r="F71" s="7">
        <f>SUMPRODUCT(('Monthly Occurrences (Support)'!$C$4:$C$166=$A71)*('Monthly Occurrences (Support)'!$D$4:$D$166="Online")*('Monthly Occurrences (Support)'!$K$4:$K$166))</f>
        <v>1</v>
      </c>
      <c r="G71" s="7">
        <f>SUMPRODUCT(('Monthly Occurrences (Support)'!$C$4:$C$166=$A71)*('Monthly Occurrences (Support)'!$D$4:$D$166="Online")*('Monthly Occurrences (Support)'!$L$4:$L$166))</f>
        <v>4</v>
      </c>
      <c r="H71" s="7">
        <f>SUMPRODUCT(('Monthly Occurrences (Support)'!$C$4:$C$166=$A71)*('Monthly Occurrences (Support)'!$D$4:$D$166="Online")*('Monthly Occurrences (Support)'!$M$4:$M$166))</f>
        <v>5</v>
      </c>
      <c r="I71" s="7">
        <f>SUMPRODUCT(('Monthly Occurrences (Support)'!$C$4:$C$166=$A71)*('Monthly Occurrences (Support)'!$D$4:$D$166="Online")*('Monthly Occurrences (Support)'!$N$4:$N$166))</f>
        <v>4</v>
      </c>
      <c r="J71" s="7">
        <f>SUMPRODUCT(('Monthly Occurrences (Support)'!$C$4:$C$166=$A71)*('Monthly Occurrences (Support)'!$D$4:$D$166="Online")*('Monthly Occurrences (Support)'!$O$4:$O$166))</f>
        <v>4</v>
      </c>
      <c r="K71" s="7">
        <f>SUMPRODUCT(('Monthly Occurrences (Support)'!$C$4:$C$166=$A71)*('Monthly Occurrences (Support)'!$D$4:$D$166="Online")*('Monthly Occurrences (Support)'!$P$4:$P$166))</f>
        <v>5</v>
      </c>
      <c r="L71" s="7">
        <f>SUMPRODUCT(('Monthly Occurrences (Support)'!$C$4:$C$166=$A71)*('Monthly Occurrences (Support)'!$D$4:$D$166="Online")*('Monthly Occurrences (Support)'!$Q$4:$Q$166))</f>
        <v>2</v>
      </c>
      <c r="M71" s="7">
        <f>SUMPRODUCT(('Monthly Occurrences (Support)'!$C$4:$C$166=$A71)*('Monthly Occurrences (Support)'!$D$4:$D$166="Online")*('Monthly Occurrences (Support)'!$R$4:$R$166))</f>
        <v>0</v>
      </c>
      <c r="N71" s="7">
        <f>SUMPRODUCT(('Monthly Occurrences (Support)'!$C$4:$C$166=$A71)*('Monthly Occurrences (Support)'!$D$4:$D$166="Online")*('Monthly Occurrences (Support)'!$S$4:$S$166))</f>
        <v>0</v>
      </c>
      <c r="O71" s="7">
        <f>SUMPRODUCT(('Monthly Occurrences (Support)'!$C$4:$C$166=$A71)*('Monthly Occurrences (Support)'!$D$4:$D$166="Online")*('Monthly Occurrences (Support)'!$T$4:$T$166))</f>
        <v>0</v>
      </c>
      <c r="P71" s="7">
        <f>SUMPRODUCT(('Monthly Occurrences (Support)'!$C$4:$C$166=$A71)*('Monthly Occurrences (Support)'!$D$4:$D$166="Online")*('Monthly Occurrences (Support)'!$U$4:$U$166))</f>
        <v>0</v>
      </c>
      <c r="Q71" s="7">
        <f>SUMPRODUCT(('Monthly Occurrences (Support)'!$C$4:$C$166=$A71)*('Monthly Occurrences (Support)'!$D$4:$D$166="Online")*('Monthly Occurrences (Support)'!$V$4:$V$166))</f>
        <v>0</v>
      </c>
      <c r="R71" s="7">
        <f>SUMPRODUCT(('Monthly Occurrences (Support)'!$C$4:$C$166=$A71)*('Monthly Occurrences (Support)'!$D$4:$D$166="Online")*('Monthly Occurrences (Support)'!$W$4:$W$166))</f>
        <v>0</v>
      </c>
      <c r="S71" s="7">
        <f>SUMPRODUCT(('Monthly Occurrences (Support)'!$C$4:$C$166=$A71)*('Monthly Occurrences (Support)'!$D$4:$D$166="Online")*('Monthly Occurrences (Support)'!$X$4:$X$166))</f>
        <v>0</v>
      </c>
      <c r="T71" s="7">
        <f>SUMPRODUCT(('Monthly Occurrences (Support)'!$C$4:$C$166=$A71)*('Monthly Occurrences (Support)'!$D$4:$D$166="Online")*('Monthly Occurrences (Support)'!$Y$4:$Y$166))</f>
        <v>0</v>
      </c>
      <c r="U71" s="7">
        <f>SUMPRODUCT(('Monthly Occurrences (Support)'!$C$4:$C$166=$A71)*('Monthly Occurrences (Support)'!$D$4:$D$166="Online")*('Monthly Occurrences (Support)'!$Z$4:$Z$166))</f>
        <v>0</v>
      </c>
      <c r="V71" s="7">
        <f>SUMPRODUCT(('Monthly Occurrences (Support)'!$C$4:$C$166=$A71)*('Monthly Occurrences (Support)'!$D$4:$D$166="Online")*('Monthly Occurrences (Support)'!$AA$4:$AA$166))</f>
        <v>0</v>
      </c>
      <c r="W71" s="7">
        <f>SUMPRODUCT(('Monthly Occurrences (Support)'!$C$4:$C$166=$A71)*('Monthly Occurrences (Support)'!$D$4:$D$166="Online")*('Monthly Occurrences (Support)'!$AB$4:$AB$166))</f>
        <v>0</v>
      </c>
    </row>
    <row r="72" spans="1:23" x14ac:dyDescent="0.25">
      <c r="A72" s="15" t="s">
        <v>38</v>
      </c>
      <c r="B72" s="4">
        <f>SUMPRODUCT(('Monthly Occurrences (Support)'!$C$4:$C$166=$A72)*('Monthly Occurrences (Support)'!$D$4:$D$166="Online")*('Monthly Occurrences (Support)'!$G$4:$G$166))</f>
        <v>0</v>
      </c>
      <c r="C72" s="4">
        <f>SUMPRODUCT(('Monthly Occurrences (Support)'!$C$4:$C$166=$A72)*('Monthly Occurrences (Support)'!$D$4:$D$166="Online")*('Monthly Occurrences (Support)'!$H$4:$H$166))</f>
        <v>0</v>
      </c>
      <c r="D72" s="4">
        <f>SUMPRODUCT(('Monthly Occurrences (Support)'!$C$4:$C$166=$A72)*('Monthly Occurrences (Support)'!$D$4:$D$166="Online")*('Monthly Occurrences (Support)'!$I$4:$I$166))</f>
        <v>0</v>
      </c>
      <c r="E72" s="4">
        <f>SUMPRODUCT(('Monthly Occurrences (Support)'!$C$4:$C$166=$A72)*('Monthly Occurrences (Support)'!$D$4:$D$166="Online")*('Monthly Occurrences (Support)'!$J$4:$J$166))</f>
        <v>0</v>
      </c>
      <c r="F72" s="4">
        <f>SUMPRODUCT(('Monthly Occurrences (Support)'!$C$4:$C$166=$A72)*('Monthly Occurrences (Support)'!$D$4:$D$166="Online")*('Monthly Occurrences (Support)'!$K$4:$K$166))</f>
        <v>0</v>
      </c>
      <c r="G72" s="4">
        <f>SUMPRODUCT(('Monthly Occurrences (Support)'!$C$4:$C$166=$A72)*('Monthly Occurrences (Support)'!$D$4:$D$166="Online")*('Monthly Occurrences (Support)'!$L$4:$L$166))</f>
        <v>0</v>
      </c>
      <c r="H72" s="4">
        <f>SUMPRODUCT(('Monthly Occurrences (Support)'!$C$4:$C$166=$A72)*('Monthly Occurrences (Support)'!$D$4:$D$166="Online")*('Monthly Occurrences (Support)'!$M$4:$M$166))</f>
        <v>0</v>
      </c>
      <c r="I72" s="4">
        <f>SUMPRODUCT(('Monthly Occurrences (Support)'!$C$4:$C$166=$A72)*('Monthly Occurrences (Support)'!$D$4:$D$166="Online")*('Monthly Occurrences (Support)'!$N$4:$N$166))</f>
        <v>0</v>
      </c>
      <c r="J72" s="4">
        <f>SUMPRODUCT(('Monthly Occurrences (Support)'!$C$4:$C$166=$A72)*('Monthly Occurrences (Support)'!$D$4:$D$166="Online")*('Monthly Occurrences (Support)'!$O$4:$O$166))</f>
        <v>0</v>
      </c>
      <c r="K72" s="4">
        <f>SUMPRODUCT(('Monthly Occurrences (Support)'!$C$4:$C$166=$A72)*('Monthly Occurrences (Support)'!$D$4:$D$166="Online")*('Monthly Occurrences (Support)'!$P$4:$P$166))</f>
        <v>0</v>
      </c>
      <c r="L72" s="4">
        <f>SUMPRODUCT(('Monthly Occurrences (Support)'!$C$4:$C$166=$A72)*('Monthly Occurrences (Support)'!$D$4:$D$166="Online")*('Monthly Occurrences (Support)'!$Q$4:$Q$166))</f>
        <v>0</v>
      </c>
      <c r="M72" s="4">
        <f>SUMPRODUCT(('Monthly Occurrences (Support)'!$C$4:$C$166=$A72)*('Monthly Occurrences (Support)'!$D$4:$D$166="Online")*('Monthly Occurrences (Support)'!$R$4:$R$166))</f>
        <v>0</v>
      </c>
      <c r="N72" s="4">
        <f>SUMPRODUCT(('Monthly Occurrences (Support)'!$C$4:$C$166=$A72)*('Monthly Occurrences (Support)'!$D$4:$D$166="Online")*('Monthly Occurrences (Support)'!$S$4:$S$166))</f>
        <v>0</v>
      </c>
      <c r="O72" s="4">
        <f>SUMPRODUCT(('Monthly Occurrences (Support)'!$C$4:$C$166=$A72)*('Monthly Occurrences (Support)'!$D$4:$D$166="Online")*('Monthly Occurrences (Support)'!$T$4:$T$166))</f>
        <v>0</v>
      </c>
      <c r="P72" s="4">
        <f>SUMPRODUCT(('Monthly Occurrences (Support)'!$C$4:$C$166=$A72)*('Monthly Occurrences (Support)'!$D$4:$D$166="Online")*('Monthly Occurrences (Support)'!$U$4:$U$166))</f>
        <v>0</v>
      </c>
      <c r="Q72" s="4">
        <f>SUMPRODUCT(('Monthly Occurrences (Support)'!$C$4:$C$166=$A72)*('Monthly Occurrences (Support)'!$D$4:$D$166="Online")*('Monthly Occurrences (Support)'!$V$4:$V$166))</f>
        <v>0</v>
      </c>
      <c r="R72" s="4">
        <f>SUMPRODUCT(('Monthly Occurrences (Support)'!$C$4:$C$166=$A72)*('Monthly Occurrences (Support)'!$D$4:$D$166="Online")*('Monthly Occurrences (Support)'!$W$4:$W$166))</f>
        <v>0</v>
      </c>
      <c r="S72" s="4">
        <f>SUMPRODUCT(('Monthly Occurrences (Support)'!$C$4:$C$166=$A72)*('Monthly Occurrences (Support)'!$D$4:$D$166="Online")*('Monthly Occurrences (Support)'!$X$4:$X$166))</f>
        <v>0</v>
      </c>
      <c r="T72" s="4">
        <f>SUMPRODUCT(('Monthly Occurrences (Support)'!$C$4:$C$166=$A72)*('Monthly Occurrences (Support)'!$D$4:$D$166="Online")*('Monthly Occurrences (Support)'!$Y$4:$Y$166))</f>
        <v>0</v>
      </c>
      <c r="U72" s="4">
        <f>SUMPRODUCT(('Monthly Occurrences (Support)'!$C$4:$C$166=$A72)*('Monthly Occurrences (Support)'!$D$4:$D$166="Online")*('Monthly Occurrences (Support)'!$Z$4:$Z$166))</f>
        <v>0</v>
      </c>
      <c r="V72" s="4">
        <f>SUMPRODUCT(('Monthly Occurrences (Support)'!$C$4:$C$166=$A72)*('Monthly Occurrences (Support)'!$D$4:$D$166="Online")*('Monthly Occurrences (Support)'!$AA$4:$AA$166))</f>
        <v>0</v>
      </c>
      <c r="W72" s="4">
        <f>SUMPRODUCT(('Monthly Occurrences (Support)'!$C$4:$C$166=$A72)*('Monthly Occurrences (Support)'!$D$4:$D$166="Online")*('Monthly Occurrences (Support)'!$AB$4:$AB$166))</f>
        <v>0</v>
      </c>
    </row>
    <row r="73" spans="1:23" x14ac:dyDescent="0.25">
      <c r="A73" s="16" t="s">
        <v>39</v>
      </c>
      <c r="B73" s="7">
        <f>SUMPRODUCT(('Monthly Occurrences (Support)'!$C$4:$C$166=$A73)*('Monthly Occurrences (Support)'!$D$4:$D$166="Online")*('Monthly Occurrences (Support)'!$G$4:$G$166))</f>
        <v>0</v>
      </c>
      <c r="C73" s="7">
        <f>SUMPRODUCT(('Monthly Occurrences (Support)'!$C$4:$C$166=$A73)*('Monthly Occurrences (Support)'!$D$4:$D$166="Online")*('Monthly Occurrences (Support)'!$H$4:$H$166))</f>
        <v>0</v>
      </c>
      <c r="D73" s="7">
        <f>SUMPRODUCT(('Monthly Occurrences (Support)'!$C$4:$C$166=$A73)*('Monthly Occurrences (Support)'!$D$4:$D$166="Online")*('Monthly Occurrences (Support)'!$I$4:$I$166))</f>
        <v>0</v>
      </c>
      <c r="E73" s="7">
        <f>SUMPRODUCT(('Monthly Occurrences (Support)'!$C$4:$C$166=$A73)*('Monthly Occurrences (Support)'!$D$4:$D$166="Online")*('Monthly Occurrences (Support)'!$J$4:$J$166))</f>
        <v>0</v>
      </c>
      <c r="F73" s="7">
        <f>SUMPRODUCT(('Monthly Occurrences (Support)'!$C$4:$C$166=$A73)*('Monthly Occurrences (Support)'!$D$4:$D$166="Online")*('Monthly Occurrences (Support)'!$K$4:$K$166))</f>
        <v>0</v>
      </c>
      <c r="G73" s="7">
        <f>SUMPRODUCT(('Monthly Occurrences (Support)'!$C$4:$C$166=$A73)*('Monthly Occurrences (Support)'!$D$4:$D$166="Online")*('Monthly Occurrences (Support)'!$L$4:$L$166))</f>
        <v>0</v>
      </c>
      <c r="H73" s="7">
        <f>SUMPRODUCT(('Monthly Occurrences (Support)'!$C$4:$C$166=$A73)*('Monthly Occurrences (Support)'!$D$4:$D$166="Online")*('Monthly Occurrences (Support)'!$M$4:$M$166))</f>
        <v>0</v>
      </c>
      <c r="I73" s="7">
        <f>SUMPRODUCT(('Monthly Occurrences (Support)'!$C$4:$C$166=$A73)*('Monthly Occurrences (Support)'!$D$4:$D$166="Online")*('Monthly Occurrences (Support)'!$N$4:$N$166))</f>
        <v>0</v>
      </c>
      <c r="J73" s="7">
        <f>SUMPRODUCT(('Monthly Occurrences (Support)'!$C$4:$C$166=$A73)*('Monthly Occurrences (Support)'!$D$4:$D$166="Online")*('Monthly Occurrences (Support)'!$O$4:$O$166))</f>
        <v>0</v>
      </c>
      <c r="K73" s="7">
        <f>SUMPRODUCT(('Monthly Occurrences (Support)'!$C$4:$C$166=$A73)*('Monthly Occurrences (Support)'!$D$4:$D$166="Online")*('Monthly Occurrences (Support)'!$P$4:$P$166))</f>
        <v>0</v>
      </c>
      <c r="L73" s="7">
        <f>SUMPRODUCT(('Monthly Occurrences (Support)'!$C$4:$C$166=$A73)*('Monthly Occurrences (Support)'!$D$4:$D$166="Online")*('Monthly Occurrences (Support)'!$Q$4:$Q$166))</f>
        <v>0</v>
      </c>
      <c r="M73" s="7">
        <f>SUMPRODUCT(('Monthly Occurrences (Support)'!$C$4:$C$166=$A73)*('Monthly Occurrences (Support)'!$D$4:$D$166="Online")*('Monthly Occurrences (Support)'!$R$4:$R$166))</f>
        <v>0</v>
      </c>
      <c r="N73" s="7">
        <f>SUMPRODUCT(('Monthly Occurrences (Support)'!$C$4:$C$166=$A73)*('Monthly Occurrences (Support)'!$D$4:$D$166="Online")*('Monthly Occurrences (Support)'!$S$4:$S$166))</f>
        <v>0</v>
      </c>
      <c r="O73" s="7">
        <f>SUMPRODUCT(('Monthly Occurrences (Support)'!$C$4:$C$166=$A73)*('Monthly Occurrences (Support)'!$D$4:$D$166="Online")*('Monthly Occurrences (Support)'!$T$4:$T$166))</f>
        <v>0</v>
      </c>
      <c r="P73" s="7">
        <f>SUMPRODUCT(('Monthly Occurrences (Support)'!$C$4:$C$166=$A73)*('Monthly Occurrences (Support)'!$D$4:$D$166="Online")*('Monthly Occurrences (Support)'!$U$4:$U$166))</f>
        <v>0</v>
      </c>
      <c r="Q73" s="7">
        <f>SUMPRODUCT(('Monthly Occurrences (Support)'!$C$4:$C$166=$A73)*('Monthly Occurrences (Support)'!$D$4:$D$166="Online")*('Monthly Occurrences (Support)'!$V$4:$V$166))</f>
        <v>0</v>
      </c>
      <c r="R73" s="7">
        <f>SUMPRODUCT(('Monthly Occurrences (Support)'!$C$4:$C$166=$A73)*('Monthly Occurrences (Support)'!$D$4:$D$166="Online")*('Monthly Occurrences (Support)'!$W$4:$W$166))</f>
        <v>0</v>
      </c>
      <c r="S73" s="7">
        <f>SUMPRODUCT(('Monthly Occurrences (Support)'!$C$4:$C$166=$A73)*('Monthly Occurrences (Support)'!$D$4:$D$166="Online")*('Monthly Occurrences (Support)'!$X$4:$X$166))</f>
        <v>0</v>
      </c>
      <c r="T73" s="7">
        <f>SUMPRODUCT(('Monthly Occurrences (Support)'!$C$4:$C$166=$A73)*('Monthly Occurrences (Support)'!$D$4:$D$166="Online")*('Monthly Occurrences (Support)'!$Y$4:$Y$166))</f>
        <v>0</v>
      </c>
      <c r="U73" s="7">
        <f>SUMPRODUCT(('Monthly Occurrences (Support)'!$C$4:$C$166=$A73)*('Monthly Occurrences (Support)'!$D$4:$D$166="Online")*('Monthly Occurrences (Support)'!$Z$4:$Z$166))</f>
        <v>0</v>
      </c>
      <c r="V73" s="7">
        <f>SUMPRODUCT(('Monthly Occurrences (Support)'!$C$4:$C$166=$A73)*('Monthly Occurrences (Support)'!$D$4:$D$166="Online")*('Monthly Occurrences (Support)'!$AA$4:$AA$166))</f>
        <v>0</v>
      </c>
      <c r="W73" s="7">
        <f>SUMPRODUCT(('Monthly Occurrences (Support)'!$C$4:$C$166=$A73)*('Monthly Occurrences (Support)'!$D$4:$D$166="Online")*('Monthly Occurrences (Support)'!$AB$4:$AB$166))</f>
        <v>0</v>
      </c>
    </row>
    <row r="74" spans="1:23" x14ac:dyDescent="0.25">
      <c r="A74" s="15" t="s">
        <v>40</v>
      </c>
      <c r="B74" s="4">
        <f>SUMPRODUCT(('Monthly Occurrences (Support)'!$C$4:$C$166=$A74)*('Monthly Occurrences (Support)'!$D$4:$D$166="Online")*('Monthly Occurrences (Support)'!$G$4:$G$166))</f>
        <v>0</v>
      </c>
      <c r="C74" s="4">
        <f>SUMPRODUCT(('Monthly Occurrences (Support)'!$C$4:$C$166=$A74)*('Monthly Occurrences (Support)'!$D$4:$D$166="Online")*('Monthly Occurrences (Support)'!$H$4:$H$166))</f>
        <v>0</v>
      </c>
      <c r="D74" s="4">
        <f>SUMPRODUCT(('Monthly Occurrences (Support)'!$C$4:$C$166=$A74)*('Monthly Occurrences (Support)'!$D$4:$D$166="Online")*('Monthly Occurrences (Support)'!$I$4:$I$166))</f>
        <v>0</v>
      </c>
      <c r="E74" s="4">
        <f>SUMPRODUCT(('Monthly Occurrences (Support)'!$C$4:$C$166=$A74)*('Monthly Occurrences (Support)'!$D$4:$D$166="Online")*('Monthly Occurrences (Support)'!$J$4:$J$166))</f>
        <v>0</v>
      </c>
      <c r="F74" s="4">
        <f>SUMPRODUCT(('Monthly Occurrences (Support)'!$C$4:$C$166=$A74)*('Monthly Occurrences (Support)'!$D$4:$D$166="Online")*('Monthly Occurrences (Support)'!$K$4:$K$166))</f>
        <v>0</v>
      </c>
      <c r="G74" s="4">
        <f>SUMPRODUCT(('Monthly Occurrences (Support)'!$C$4:$C$166=$A74)*('Monthly Occurrences (Support)'!$D$4:$D$166="Online")*('Monthly Occurrences (Support)'!$L$4:$L$166))</f>
        <v>0</v>
      </c>
      <c r="H74" s="4">
        <f>SUMPRODUCT(('Monthly Occurrences (Support)'!$C$4:$C$166=$A74)*('Monthly Occurrences (Support)'!$D$4:$D$166="Online")*('Monthly Occurrences (Support)'!$M$4:$M$166))</f>
        <v>0</v>
      </c>
      <c r="I74" s="4">
        <f>SUMPRODUCT(('Monthly Occurrences (Support)'!$C$4:$C$166=$A74)*('Monthly Occurrences (Support)'!$D$4:$D$166="Online")*('Monthly Occurrences (Support)'!$N$4:$N$166))</f>
        <v>0</v>
      </c>
      <c r="J74" s="4">
        <f>SUMPRODUCT(('Monthly Occurrences (Support)'!$C$4:$C$166=$A74)*('Monthly Occurrences (Support)'!$D$4:$D$166="Online")*('Monthly Occurrences (Support)'!$O$4:$O$166))</f>
        <v>0</v>
      </c>
      <c r="K74" s="4">
        <f>SUMPRODUCT(('Monthly Occurrences (Support)'!$C$4:$C$166=$A74)*('Monthly Occurrences (Support)'!$D$4:$D$166="Online")*('Monthly Occurrences (Support)'!$P$4:$P$166))</f>
        <v>0</v>
      </c>
      <c r="L74" s="4">
        <f>SUMPRODUCT(('Monthly Occurrences (Support)'!$C$4:$C$166=$A74)*('Monthly Occurrences (Support)'!$D$4:$D$166="Online")*('Monthly Occurrences (Support)'!$Q$4:$Q$166))</f>
        <v>0</v>
      </c>
      <c r="M74" s="4">
        <f>SUMPRODUCT(('Monthly Occurrences (Support)'!$C$4:$C$166=$A74)*('Monthly Occurrences (Support)'!$D$4:$D$166="Online")*('Monthly Occurrences (Support)'!$R$4:$R$166))</f>
        <v>0</v>
      </c>
      <c r="N74" s="4">
        <f>SUMPRODUCT(('Monthly Occurrences (Support)'!$C$4:$C$166=$A74)*('Monthly Occurrences (Support)'!$D$4:$D$166="Online")*('Monthly Occurrences (Support)'!$S$4:$S$166))</f>
        <v>0</v>
      </c>
      <c r="O74" s="4">
        <f>SUMPRODUCT(('Monthly Occurrences (Support)'!$C$4:$C$166=$A74)*('Monthly Occurrences (Support)'!$D$4:$D$166="Online")*('Monthly Occurrences (Support)'!$T$4:$T$166))</f>
        <v>0</v>
      </c>
      <c r="P74" s="4">
        <f>SUMPRODUCT(('Monthly Occurrences (Support)'!$C$4:$C$166=$A74)*('Monthly Occurrences (Support)'!$D$4:$D$166="Online")*('Monthly Occurrences (Support)'!$U$4:$U$166))</f>
        <v>0</v>
      </c>
      <c r="Q74" s="4">
        <f>SUMPRODUCT(('Monthly Occurrences (Support)'!$C$4:$C$166=$A74)*('Monthly Occurrences (Support)'!$D$4:$D$166="Online")*('Monthly Occurrences (Support)'!$V$4:$V$166))</f>
        <v>0</v>
      </c>
      <c r="R74" s="4">
        <f>SUMPRODUCT(('Monthly Occurrences (Support)'!$C$4:$C$166=$A74)*('Monthly Occurrences (Support)'!$D$4:$D$166="Online")*('Monthly Occurrences (Support)'!$W$4:$W$166))</f>
        <v>0</v>
      </c>
      <c r="S74" s="4">
        <f>SUMPRODUCT(('Monthly Occurrences (Support)'!$C$4:$C$166=$A74)*('Monthly Occurrences (Support)'!$D$4:$D$166="Online")*('Monthly Occurrences (Support)'!$X$4:$X$166))</f>
        <v>0</v>
      </c>
      <c r="T74" s="4">
        <f>SUMPRODUCT(('Monthly Occurrences (Support)'!$C$4:$C$166=$A74)*('Monthly Occurrences (Support)'!$D$4:$D$166="Online")*('Monthly Occurrences (Support)'!$Y$4:$Y$166))</f>
        <v>0</v>
      </c>
      <c r="U74" s="4">
        <f>SUMPRODUCT(('Monthly Occurrences (Support)'!$C$4:$C$166=$A74)*('Monthly Occurrences (Support)'!$D$4:$D$166="Online")*('Monthly Occurrences (Support)'!$Z$4:$Z$166))</f>
        <v>0</v>
      </c>
      <c r="V74" s="4">
        <f>SUMPRODUCT(('Monthly Occurrences (Support)'!$C$4:$C$166=$A74)*('Monthly Occurrences (Support)'!$D$4:$D$166="Online")*('Monthly Occurrences (Support)'!$AA$4:$AA$166))</f>
        <v>0</v>
      </c>
      <c r="W74" s="4">
        <f>SUMPRODUCT(('Monthly Occurrences (Support)'!$C$4:$C$166=$A74)*('Monthly Occurrences (Support)'!$D$4:$D$166="Online")*('Monthly Occurrences (Support)'!$AB$4:$AB$166))</f>
        <v>0</v>
      </c>
    </row>
    <row r="75" spans="1:23" x14ac:dyDescent="0.25">
      <c r="A75" s="16" t="s">
        <v>41</v>
      </c>
      <c r="B75" s="7">
        <f>SUMPRODUCT(('Monthly Occurrences (Support)'!$C$4:$C$166=$A75)*('Monthly Occurrences (Support)'!$D$4:$D$166="Online")*('Monthly Occurrences (Support)'!$G$4:$G$166))</f>
        <v>0</v>
      </c>
      <c r="C75" s="7">
        <f>SUMPRODUCT(('Monthly Occurrences (Support)'!$C$4:$C$166=$A75)*('Monthly Occurrences (Support)'!$D$4:$D$166="Online")*('Monthly Occurrences (Support)'!$H$4:$H$166))</f>
        <v>0</v>
      </c>
      <c r="D75" s="7">
        <f>SUMPRODUCT(('Monthly Occurrences (Support)'!$C$4:$C$166=$A75)*('Monthly Occurrences (Support)'!$D$4:$D$166="Online")*('Monthly Occurrences (Support)'!$I$4:$I$166))</f>
        <v>0</v>
      </c>
      <c r="E75" s="7">
        <f>SUMPRODUCT(('Monthly Occurrences (Support)'!$C$4:$C$166=$A75)*('Monthly Occurrences (Support)'!$D$4:$D$166="Online")*('Monthly Occurrences (Support)'!$J$4:$J$166))</f>
        <v>0</v>
      </c>
      <c r="F75" s="7">
        <f>SUMPRODUCT(('Monthly Occurrences (Support)'!$C$4:$C$166=$A75)*('Monthly Occurrences (Support)'!$D$4:$D$166="Online")*('Monthly Occurrences (Support)'!$K$4:$K$166))</f>
        <v>0</v>
      </c>
      <c r="G75" s="7">
        <f>SUMPRODUCT(('Monthly Occurrences (Support)'!$C$4:$C$166=$A75)*('Monthly Occurrences (Support)'!$D$4:$D$166="Online")*('Monthly Occurrences (Support)'!$L$4:$L$166))</f>
        <v>0</v>
      </c>
      <c r="H75" s="7">
        <f>SUMPRODUCT(('Monthly Occurrences (Support)'!$C$4:$C$166=$A75)*('Monthly Occurrences (Support)'!$D$4:$D$166="Online")*('Monthly Occurrences (Support)'!$M$4:$M$166))</f>
        <v>0</v>
      </c>
      <c r="I75" s="7">
        <f>SUMPRODUCT(('Monthly Occurrences (Support)'!$C$4:$C$166=$A75)*('Monthly Occurrences (Support)'!$D$4:$D$166="Online")*('Monthly Occurrences (Support)'!$N$4:$N$166))</f>
        <v>0</v>
      </c>
      <c r="J75" s="7">
        <f>SUMPRODUCT(('Monthly Occurrences (Support)'!$C$4:$C$166=$A75)*('Monthly Occurrences (Support)'!$D$4:$D$166="Online")*('Monthly Occurrences (Support)'!$O$4:$O$166))</f>
        <v>0</v>
      </c>
      <c r="K75" s="7">
        <f>SUMPRODUCT(('Monthly Occurrences (Support)'!$C$4:$C$166=$A75)*('Monthly Occurrences (Support)'!$D$4:$D$166="Online")*('Monthly Occurrences (Support)'!$P$4:$P$166))</f>
        <v>0</v>
      </c>
      <c r="L75" s="7">
        <f>SUMPRODUCT(('Monthly Occurrences (Support)'!$C$4:$C$166=$A75)*('Monthly Occurrences (Support)'!$D$4:$D$166="Online")*('Monthly Occurrences (Support)'!$Q$4:$Q$166))</f>
        <v>0</v>
      </c>
      <c r="M75" s="7">
        <f>SUMPRODUCT(('Monthly Occurrences (Support)'!$C$4:$C$166=$A75)*('Monthly Occurrences (Support)'!$D$4:$D$166="Online")*('Monthly Occurrences (Support)'!$R$4:$R$166))</f>
        <v>0</v>
      </c>
      <c r="N75" s="7">
        <f>SUMPRODUCT(('Monthly Occurrences (Support)'!$C$4:$C$166=$A75)*('Monthly Occurrences (Support)'!$D$4:$D$166="Online")*('Monthly Occurrences (Support)'!$S$4:$S$166))</f>
        <v>0</v>
      </c>
      <c r="O75" s="7">
        <f>SUMPRODUCT(('Monthly Occurrences (Support)'!$C$4:$C$166=$A75)*('Monthly Occurrences (Support)'!$D$4:$D$166="Online")*('Monthly Occurrences (Support)'!$T$4:$T$166))</f>
        <v>0</v>
      </c>
      <c r="P75" s="7">
        <f>SUMPRODUCT(('Monthly Occurrences (Support)'!$C$4:$C$166=$A75)*('Monthly Occurrences (Support)'!$D$4:$D$166="Online")*('Monthly Occurrences (Support)'!$U$4:$U$166))</f>
        <v>0</v>
      </c>
      <c r="Q75" s="7">
        <f>SUMPRODUCT(('Monthly Occurrences (Support)'!$C$4:$C$166=$A75)*('Monthly Occurrences (Support)'!$D$4:$D$166="Online")*('Monthly Occurrences (Support)'!$V$4:$V$166))</f>
        <v>0</v>
      </c>
      <c r="R75" s="7">
        <f>SUMPRODUCT(('Monthly Occurrences (Support)'!$C$4:$C$166=$A75)*('Monthly Occurrences (Support)'!$D$4:$D$166="Online")*('Monthly Occurrences (Support)'!$W$4:$W$166))</f>
        <v>0</v>
      </c>
      <c r="S75" s="7">
        <f>SUMPRODUCT(('Monthly Occurrences (Support)'!$C$4:$C$166=$A75)*('Monthly Occurrences (Support)'!$D$4:$D$166="Online")*('Monthly Occurrences (Support)'!$X$4:$X$166))</f>
        <v>0</v>
      </c>
      <c r="T75" s="7">
        <f>SUMPRODUCT(('Monthly Occurrences (Support)'!$C$4:$C$166=$A75)*('Monthly Occurrences (Support)'!$D$4:$D$166="Online")*('Monthly Occurrences (Support)'!$Y$4:$Y$166))</f>
        <v>0</v>
      </c>
      <c r="U75" s="7">
        <f>SUMPRODUCT(('Monthly Occurrences (Support)'!$C$4:$C$166=$A75)*('Monthly Occurrences (Support)'!$D$4:$D$166="Online")*('Monthly Occurrences (Support)'!$Z$4:$Z$166))</f>
        <v>0</v>
      </c>
      <c r="V75" s="7">
        <f>SUMPRODUCT(('Monthly Occurrences (Support)'!$C$4:$C$166=$A75)*('Monthly Occurrences (Support)'!$D$4:$D$166="Online")*('Monthly Occurrences (Support)'!$AA$4:$AA$166))</f>
        <v>0</v>
      </c>
      <c r="W75" s="7">
        <f>SUMPRODUCT(('Monthly Occurrences (Support)'!$C$4:$C$166=$A75)*('Monthly Occurrences (Support)'!$D$4:$D$166="Online")*('Monthly Occurrences (Support)'!$AB$4:$AB$166))</f>
        <v>0</v>
      </c>
    </row>
    <row r="76" spans="1:23" x14ac:dyDescent="0.25">
      <c r="A76" s="15" t="s">
        <v>42</v>
      </c>
      <c r="B76" s="4">
        <f>SUMPRODUCT(('Monthly Occurrences (Support)'!$C$4:$C$166=$A76)*('Monthly Occurrences (Support)'!$D$4:$D$166="Online")*('Monthly Occurrences (Support)'!$G$4:$G$166))</f>
        <v>0</v>
      </c>
      <c r="C76" s="4">
        <f>SUMPRODUCT(('Monthly Occurrences (Support)'!$C$4:$C$166=$A76)*('Monthly Occurrences (Support)'!$D$4:$D$166="Online")*('Monthly Occurrences (Support)'!$H$4:$H$166))</f>
        <v>0</v>
      </c>
      <c r="D76" s="4">
        <f>SUMPRODUCT(('Monthly Occurrences (Support)'!$C$4:$C$166=$A76)*('Monthly Occurrences (Support)'!$D$4:$D$166="Online")*('Monthly Occurrences (Support)'!$I$4:$I$166))</f>
        <v>0</v>
      </c>
      <c r="E76" s="4">
        <f>SUMPRODUCT(('Monthly Occurrences (Support)'!$C$4:$C$166=$A76)*('Monthly Occurrences (Support)'!$D$4:$D$166="Online")*('Monthly Occurrences (Support)'!$J$4:$J$166))</f>
        <v>0</v>
      </c>
      <c r="F76" s="4">
        <f>SUMPRODUCT(('Monthly Occurrences (Support)'!$C$4:$C$166=$A76)*('Monthly Occurrences (Support)'!$D$4:$D$166="Online")*('Monthly Occurrences (Support)'!$K$4:$K$166))</f>
        <v>1</v>
      </c>
      <c r="G76" s="4">
        <f>SUMPRODUCT(('Monthly Occurrences (Support)'!$C$4:$C$166=$A76)*('Monthly Occurrences (Support)'!$D$4:$D$166="Online")*('Monthly Occurrences (Support)'!$L$4:$L$166))</f>
        <v>4</v>
      </c>
      <c r="H76" s="4">
        <f>SUMPRODUCT(('Monthly Occurrences (Support)'!$C$4:$C$166=$A76)*('Monthly Occurrences (Support)'!$D$4:$D$166="Online")*('Monthly Occurrences (Support)'!$M$4:$M$166))</f>
        <v>5</v>
      </c>
      <c r="I76" s="4">
        <f>SUMPRODUCT(('Monthly Occurrences (Support)'!$C$4:$C$166=$A76)*('Monthly Occurrences (Support)'!$D$4:$D$166="Online")*('Monthly Occurrences (Support)'!$N$4:$N$166))</f>
        <v>4</v>
      </c>
      <c r="J76" s="4">
        <f>SUMPRODUCT(('Monthly Occurrences (Support)'!$C$4:$C$166=$A76)*('Monthly Occurrences (Support)'!$D$4:$D$166="Online")*('Monthly Occurrences (Support)'!$O$4:$O$166))</f>
        <v>4</v>
      </c>
      <c r="K76" s="4">
        <f>SUMPRODUCT(('Monthly Occurrences (Support)'!$C$4:$C$166=$A76)*('Monthly Occurrences (Support)'!$D$4:$D$166="Online")*('Monthly Occurrences (Support)'!$P$4:$P$166))</f>
        <v>5</v>
      </c>
      <c r="L76" s="4">
        <f>SUMPRODUCT(('Monthly Occurrences (Support)'!$C$4:$C$166=$A76)*('Monthly Occurrences (Support)'!$D$4:$D$166="Online")*('Monthly Occurrences (Support)'!$Q$4:$Q$166))</f>
        <v>4</v>
      </c>
      <c r="M76" s="4">
        <f>SUMPRODUCT(('Monthly Occurrences (Support)'!$C$4:$C$166=$A76)*('Monthly Occurrences (Support)'!$D$4:$D$166="Online")*('Monthly Occurrences (Support)'!$R$4:$R$166))</f>
        <v>5</v>
      </c>
      <c r="N76" s="4">
        <f>SUMPRODUCT(('Monthly Occurrences (Support)'!$C$4:$C$166=$A76)*('Monthly Occurrences (Support)'!$D$4:$D$166="Online")*('Monthly Occurrences (Support)'!$S$4:$S$166))</f>
        <v>4</v>
      </c>
      <c r="O76" s="4">
        <f>SUMPRODUCT(('Monthly Occurrences (Support)'!$C$4:$C$166=$A76)*('Monthly Occurrences (Support)'!$D$4:$D$166="Online")*('Monthly Occurrences (Support)'!$T$4:$T$166))</f>
        <v>2</v>
      </c>
      <c r="P76" s="4">
        <f>SUMPRODUCT(('Monthly Occurrences (Support)'!$C$4:$C$166=$A76)*('Monthly Occurrences (Support)'!$D$4:$D$166="Online")*('Monthly Occurrences (Support)'!$U$4:$U$166))</f>
        <v>0</v>
      </c>
      <c r="Q76" s="4">
        <f>SUMPRODUCT(('Monthly Occurrences (Support)'!$C$4:$C$166=$A76)*('Monthly Occurrences (Support)'!$D$4:$D$166="Online")*('Monthly Occurrences (Support)'!$V$4:$V$166))</f>
        <v>0</v>
      </c>
      <c r="R76" s="4">
        <f>SUMPRODUCT(('Monthly Occurrences (Support)'!$C$4:$C$166=$A76)*('Monthly Occurrences (Support)'!$D$4:$D$166="Online")*('Monthly Occurrences (Support)'!$W$4:$W$166))</f>
        <v>0</v>
      </c>
      <c r="S76" s="4">
        <f>SUMPRODUCT(('Monthly Occurrences (Support)'!$C$4:$C$166=$A76)*('Monthly Occurrences (Support)'!$D$4:$D$166="Online")*('Monthly Occurrences (Support)'!$X$4:$X$166))</f>
        <v>0</v>
      </c>
      <c r="T76" s="4">
        <f>SUMPRODUCT(('Monthly Occurrences (Support)'!$C$4:$C$166=$A76)*('Monthly Occurrences (Support)'!$D$4:$D$166="Online")*('Monthly Occurrences (Support)'!$Y$4:$Y$166))</f>
        <v>0</v>
      </c>
      <c r="U76" s="4">
        <f>SUMPRODUCT(('Monthly Occurrences (Support)'!$C$4:$C$166=$A76)*('Monthly Occurrences (Support)'!$D$4:$D$166="Online")*('Monthly Occurrences (Support)'!$Z$4:$Z$166))</f>
        <v>0</v>
      </c>
      <c r="V76" s="4">
        <f>SUMPRODUCT(('Monthly Occurrences (Support)'!$C$4:$C$166=$A76)*('Monthly Occurrences (Support)'!$D$4:$D$166="Online")*('Monthly Occurrences (Support)'!$AA$4:$AA$166))</f>
        <v>0</v>
      </c>
      <c r="W76" s="4">
        <f>SUMPRODUCT(('Monthly Occurrences (Support)'!$C$4:$C$166=$A76)*('Monthly Occurrences (Support)'!$D$4:$D$166="Online")*('Monthly Occurrences (Support)'!$AB$4:$AB$166))</f>
        <v>0</v>
      </c>
    </row>
    <row r="77" spans="1:23" x14ac:dyDescent="0.25">
      <c r="A77" s="16" t="s">
        <v>43</v>
      </c>
      <c r="B77" s="7">
        <f>SUMPRODUCT(('Monthly Occurrences (Support)'!$C$4:$C$166=$A77)*('Monthly Occurrences (Support)'!$D$4:$D$166="Online")*('Monthly Occurrences (Support)'!$G$4:$G$166))</f>
        <v>0</v>
      </c>
      <c r="C77" s="7">
        <f>SUMPRODUCT(('Monthly Occurrences (Support)'!$C$4:$C$166=$A77)*('Monthly Occurrences (Support)'!$D$4:$D$166="Online")*('Monthly Occurrences (Support)'!$H$4:$H$166))</f>
        <v>0</v>
      </c>
      <c r="D77" s="7">
        <f>SUMPRODUCT(('Monthly Occurrences (Support)'!$C$4:$C$166=$A77)*('Monthly Occurrences (Support)'!$D$4:$D$166="Online")*('Monthly Occurrences (Support)'!$I$4:$I$166))</f>
        <v>0</v>
      </c>
      <c r="E77" s="7">
        <f>SUMPRODUCT(('Monthly Occurrences (Support)'!$C$4:$C$166=$A77)*('Monthly Occurrences (Support)'!$D$4:$D$166="Online")*('Monthly Occurrences (Support)'!$J$4:$J$166))</f>
        <v>0</v>
      </c>
      <c r="F77" s="7">
        <f>SUMPRODUCT(('Monthly Occurrences (Support)'!$C$4:$C$166=$A77)*('Monthly Occurrences (Support)'!$D$4:$D$166="Online")*('Monthly Occurrences (Support)'!$K$4:$K$166))</f>
        <v>0</v>
      </c>
      <c r="G77" s="7">
        <f>SUMPRODUCT(('Monthly Occurrences (Support)'!$C$4:$C$166=$A77)*('Monthly Occurrences (Support)'!$D$4:$D$166="Online")*('Monthly Occurrences (Support)'!$L$4:$L$166))</f>
        <v>0</v>
      </c>
      <c r="H77" s="7">
        <f>SUMPRODUCT(('Monthly Occurrences (Support)'!$C$4:$C$166=$A77)*('Monthly Occurrences (Support)'!$D$4:$D$166="Online")*('Monthly Occurrences (Support)'!$M$4:$M$166))</f>
        <v>0</v>
      </c>
      <c r="I77" s="7">
        <f>SUMPRODUCT(('Monthly Occurrences (Support)'!$C$4:$C$166=$A77)*('Monthly Occurrences (Support)'!$D$4:$D$166="Online")*('Monthly Occurrences (Support)'!$N$4:$N$166))</f>
        <v>0</v>
      </c>
      <c r="J77" s="7">
        <f>SUMPRODUCT(('Monthly Occurrences (Support)'!$C$4:$C$166=$A77)*('Monthly Occurrences (Support)'!$D$4:$D$166="Online")*('Monthly Occurrences (Support)'!$O$4:$O$166))</f>
        <v>0</v>
      </c>
      <c r="K77" s="7">
        <f>SUMPRODUCT(('Monthly Occurrences (Support)'!$C$4:$C$166=$A77)*('Monthly Occurrences (Support)'!$D$4:$D$166="Online")*('Monthly Occurrences (Support)'!$P$4:$P$166))</f>
        <v>0</v>
      </c>
      <c r="L77" s="7">
        <f>SUMPRODUCT(('Monthly Occurrences (Support)'!$C$4:$C$166=$A77)*('Monthly Occurrences (Support)'!$D$4:$D$166="Online")*('Monthly Occurrences (Support)'!$Q$4:$Q$166))</f>
        <v>0</v>
      </c>
      <c r="M77" s="7">
        <f>SUMPRODUCT(('Monthly Occurrences (Support)'!$C$4:$C$166=$A77)*('Monthly Occurrences (Support)'!$D$4:$D$166="Online")*('Monthly Occurrences (Support)'!$R$4:$R$166))</f>
        <v>0</v>
      </c>
      <c r="N77" s="7">
        <f>SUMPRODUCT(('Monthly Occurrences (Support)'!$C$4:$C$166=$A77)*('Monthly Occurrences (Support)'!$D$4:$D$166="Online")*('Monthly Occurrences (Support)'!$S$4:$S$166))</f>
        <v>0</v>
      </c>
      <c r="O77" s="7">
        <f>SUMPRODUCT(('Monthly Occurrences (Support)'!$C$4:$C$166=$A77)*('Monthly Occurrences (Support)'!$D$4:$D$166="Online")*('Monthly Occurrences (Support)'!$T$4:$T$166))</f>
        <v>0</v>
      </c>
      <c r="P77" s="7">
        <f>SUMPRODUCT(('Monthly Occurrences (Support)'!$C$4:$C$166=$A77)*('Monthly Occurrences (Support)'!$D$4:$D$166="Online")*('Monthly Occurrences (Support)'!$U$4:$U$166))</f>
        <v>0</v>
      </c>
      <c r="Q77" s="7">
        <f>SUMPRODUCT(('Monthly Occurrences (Support)'!$C$4:$C$166=$A77)*('Monthly Occurrences (Support)'!$D$4:$D$166="Online")*('Monthly Occurrences (Support)'!$V$4:$V$166))</f>
        <v>0</v>
      </c>
      <c r="R77" s="7">
        <f>SUMPRODUCT(('Monthly Occurrences (Support)'!$C$4:$C$166=$A77)*('Monthly Occurrences (Support)'!$D$4:$D$166="Online")*('Monthly Occurrences (Support)'!$W$4:$W$166))</f>
        <v>0</v>
      </c>
      <c r="S77" s="7">
        <f>SUMPRODUCT(('Monthly Occurrences (Support)'!$C$4:$C$166=$A77)*('Monthly Occurrences (Support)'!$D$4:$D$166="Online")*('Monthly Occurrences (Support)'!$X$4:$X$166))</f>
        <v>0</v>
      </c>
      <c r="T77" s="7">
        <f>SUMPRODUCT(('Monthly Occurrences (Support)'!$C$4:$C$166=$A77)*('Monthly Occurrences (Support)'!$D$4:$D$166="Online")*('Monthly Occurrences (Support)'!$Y$4:$Y$166))</f>
        <v>0</v>
      </c>
      <c r="U77" s="7">
        <f>SUMPRODUCT(('Monthly Occurrences (Support)'!$C$4:$C$166=$A77)*('Monthly Occurrences (Support)'!$D$4:$D$166="Online")*('Monthly Occurrences (Support)'!$Z$4:$Z$166))</f>
        <v>0</v>
      </c>
      <c r="V77" s="7">
        <f>SUMPRODUCT(('Monthly Occurrences (Support)'!$C$4:$C$166=$A77)*('Monthly Occurrences (Support)'!$D$4:$D$166="Online")*('Monthly Occurrences (Support)'!$AA$4:$AA$166))</f>
        <v>0</v>
      </c>
      <c r="W77" s="7">
        <f>SUMPRODUCT(('Monthly Occurrences (Support)'!$C$4:$C$166=$A77)*('Monthly Occurrences (Support)'!$D$4:$D$166="Online")*('Monthly Occurrences (Support)'!$AB$4:$AB$166))</f>
        <v>0</v>
      </c>
    </row>
    <row r="78" spans="1:23" x14ac:dyDescent="0.25">
      <c r="A78" s="15" t="s">
        <v>44</v>
      </c>
      <c r="B78" s="4">
        <f>SUMPRODUCT(('Monthly Occurrences (Support)'!$C$4:$C$166=$A78)*('Monthly Occurrences (Support)'!$D$4:$D$166="Online")*('Monthly Occurrences (Support)'!$G$4:$G$166))</f>
        <v>0</v>
      </c>
      <c r="C78" s="4">
        <f>SUMPRODUCT(('Monthly Occurrences (Support)'!$C$4:$C$166=$A78)*('Monthly Occurrences (Support)'!$D$4:$D$166="Online")*('Monthly Occurrences (Support)'!$H$4:$H$166))</f>
        <v>0</v>
      </c>
      <c r="D78" s="4">
        <f>SUMPRODUCT(('Monthly Occurrences (Support)'!$C$4:$C$166=$A78)*('Monthly Occurrences (Support)'!$D$4:$D$166="Online")*('Monthly Occurrences (Support)'!$I$4:$I$166))</f>
        <v>0</v>
      </c>
      <c r="E78" s="4">
        <f>SUMPRODUCT(('Monthly Occurrences (Support)'!$C$4:$C$166=$A78)*('Monthly Occurrences (Support)'!$D$4:$D$166="Online")*('Monthly Occurrences (Support)'!$J$4:$J$166))</f>
        <v>0</v>
      </c>
      <c r="F78" s="4">
        <f>SUMPRODUCT(('Monthly Occurrences (Support)'!$C$4:$C$166=$A78)*('Monthly Occurrences (Support)'!$D$4:$D$166="Online")*('Monthly Occurrences (Support)'!$K$4:$K$166))</f>
        <v>0</v>
      </c>
      <c r="G78" s="4">
        <f>SUMPRODUCT(('Monthly Occurrences (Support)'!$C$4:$C$166=$A78)*('Monthly Occurrences (Support)'!$D$4:$D$166="Online")*('Monthly Occurrences (Support)'!$L$4:$L$166))</f>
        <v>0</v>
      </c>
      <c r="H78" s="4">
        <f>SUMPRODUCT(('Monthly Occurrences (Support)'!$C$4:$C$166=$A78)*('Monthly Occurrences (Support)'!$D$4:$D$166="Online")*('Monthly Occurrences (Support)'!$M$4:$M$166))</f>
        <v>0</v>
      </c>
      <c r="I78" s="4">
        <f>SUMPRODUCT(('Monthly Occurrences (Support)'!$C$4:$C$166=$A78)*('Monthly Occurrences (Support)'!$D$4:$D$166="Online")*('Monthly Occurrences (Support)'!$N$4:$N$166))</f>
        <v>0</v>
      </c>
      <c r="J78" s="4">
        <f>SUMPRODUCT(('Monthly Occurrences (Support)'!$C$4:$C$166=$A78)*('Monthly Occurrences (Support)'!$D$4:$D$166="Online")*('Monthly Occurrences (Support)'!$O$4:$O$166))</f>
        <v>0</v>
      </c>
      <c r="K78" s="4">
        <f>SUMPRODUCT(('Monthly Occurrences (Support)'!$C$4:$C$166=$A78)*('Monthly Occurrences (Support)'!$D$4:$D$166="Online")*('Monthly Occurrences (Support)'!$P$4:$P$166))</f>
        <v>0</v>
      </c>
      <c r="L78" s="4">
        <f>SUMPRODUCT(('Monthly Occurrences (Support)'!$C$4:$C$166=$A78)*('Monthly Occurrences (Support)'!$D$4:$D$166="Online")*('Monthly Occurrences (Support)'!$Q$4:$Q$166))</f>
        <v>0</v>
      </c>
      <c r="M78" s="4">
        <f>SUMPRODUCT(('Monthly Occurrences (Support)'!$C$4:$C$166=$A78)*('Monthly Occurrences (Support)'!$D$4:$D$166="Online")*('Monthly Occurrences (Support)'!$R$4:$R$166))</f>
        <v>0</v>
      </c>
      <c r="N78" s="4">
        <f>SUMPRODUCT(('Monthly Occurrences (Support)'!$C$4:$C$166=$A78)*('Monthly Occurrences (Support)'!$D$4:$D$166="Online")*('Monthly Occurrences (Support)'!$S$4:$S$166))</f>
        <v>0</v>
      </c>
      <c r="O78" s="4">
        <f>SUMPRODUCT(('Monthly Occurrences (Support)'!$C$4:$C$166=$A78)*('Monthly Occurrences (Support)'!$D$4:$D$166="Online")*('Monthly Occurrences (Support)'!$T$4:$T$166))</f>
        <v>0</v>
      </c>
      <c r="P78" s="4">
        <f>SUMPRODUCT(('Monthly Occurrences (Support)'!$C$4:$C$166=$A78)*('Monthly Occurrences (Support)'!$D$4:$D$166="Online")*('Monthly Occurrences (Support)'!$U$4:$U$166))</f>
        <v>0</v>
      </c>
      <c r="Q78" s="4">
        <f>SUMPRODUCT(('Monthly Occurrences (Support)'!$C$4:$C$166=$A78)*('Monthly Occurrences (Support)'!$D$4:$D$166="Online")*('Monthly Occurrences (Support)'!$V$4:$V$166))</f>
        <v>0</v>
      </c>
      <c r="R78" s="4">
        <f>SUMPRODUCT(('Monthly Occurrences (Support)'!$C$4:$C$166=$A78)*('Monthly Occurrences (Support)'!$D$4:$D$166="Online")*('Monthly Occurrences (Support)'!$W$4:$W$166))</f>
        <v>0</v>
      </c>
      <c r="S78" s="4">
        <f>SUMPRODUCT(('Monthly Occurrences (Support)'!$C$4:$C$166=$A78)*('Monthly Occurrences (Support)'!$D$4:$D$166="Online")*('Monthly Occurrences (Support)'!$X$4:$X$166))</f>
        <v>0</v>
      </c>
      <c r="T78" s="4">
        <f>SUMPRODUCT(('Monthly Occurrences (Support)'!$C$4:$C$166=$A78)*('Monthly Occurrences (Support)'!$D$4:$D$166="Online")*('Monthly Occurrences (Support)'!$Y$4:$Y$166))</f>
        <v>0</v>
      </c>
      <c r="U78" s="4">
        <f>SUMPRODUCT(('Monthly Occurrences (Support)'!$C$4:$C$166=$A78)*('Monthly Occurrences (Support)'!$D$4:$D$166="Online")*('Monthly Occurrences (Support)'!$Z$4:$Z$166))</f>
        <v>0</v>
      </c>
      <c r="V78" s="4">
        <f>SUMPRODUCT(('Monthly Occurrences (Support)'!$C$4:$C$166=$A78)*('Monthly Occurrences (Support)'!$D$4:$D$166="Online")*('Monthly Occurrences (Support)'!$AA$4:$AA$166))</f>
        <v>0</v>
      </c>
      <c r="W78" s="4">
        <f>SUMPRODUCT(('Monthly Occurrences (Support)'!$C$4:$C$166=$A78)*('Monthly Occurrences (Support)'!$D$4:$D$166="Online")*('Monthly Occurrences (Support)'!$AB$4:$AB$166))</f>
        <v>0</v>
      </c>
    </row>
    <row r="79" spans="1:23" x14ac:dyDescent="0.25">
      <c r="A79" s="16" t="s">
        <v>45</v>
      </c>
      <c r="B79" s="7">
        <f>SUMPRODUCT(('Monthly Occurrences (Support)'!$C$4:$C$166=$A79)*('Monthly Occurrences (Support)'!$D$4:$D$166="Online")*('Monthly Occurrences (Support)'!$G$4:$G$166))</f>
        <v>0</v>
      </c>
      <c r="C79" s="7">
        <f>SUMPRODUCT(('Monthly Occurrences (Support)'!$C$4:$C$166=$A79)*('Monthly Occurrences (Support)'!$D$4:$D$166="Online")*('Monthly Occurrences (Support)'!$H$4:$H$166))</f>
        <v>0</v>
      </c>
      <c r="D79" s="7">
        <f>SUMPRODUCT(('Monthly Occurrences (Support)'!$C$4:$C$166=$A79)*('Monthly Occurrences (Support)'!$D$4:$D$166="Online")*('Monthly Occurrences (Support)'!$I$4:$I$166))</f>
        <v>0</v>
      </c>
      <c r="E79" s="7">
        <f>SUMPRODUCT(('Monthly Occurrences (Support)'!$C$4:$C$166=$A79)*('Monthly Occurrences (Support)'!$D$4:$D$166="Online")*('Monthly Occurrences (Support)'!$J$4:$J$166))</f>
        <v>0</v>
      </c>
      <c r="F79" s="7">
        <f>SUMPRODUCT(('Monthly Occurrences (Support)'!$C$4:$C$166=$A79)*('Monthly Occurrences (Support)'!$D$4:$D$166="Online")*('Monthly Occurrences (Support)'!$K$4:$K$166))</f>
        <v>0</v>
      </c>
      <c r="G79" s="7">
        <f>SUMPRODUCT(('Monthly Occurrences (Support)'!$C$4:$C$166=$A79)*('Monthly Occurrences (Support)'!$D$4:$D$166="Online")*('Monthly Occurrences (Support)'!$L$4:$L$166))</f>
        <v>0</v>
      </c>
      <c r="H79" s="7">
        <f>SUMPRODUCT(('Monthly Occurrences (Support)'!$C$4:$C$166=$A79)*('Monthly Occurrences (Support)'!$D$4:$D$166="Online")*('Monthly Occurrences (Support)'!$M$4:$M$166))</f>
        <v>0</v>
      </c>
      <c r="I79" s="7">
        <f>SUMPRODUCT(('Monthly Occurrences (Support)'!$C$4:$C$166=$A79)*('Monthly Occurrences (Support)'!$D$4:$D$166="Online")*('Monthly Occurrences (Support)'!$N$4:$N$166))</f>
        <v>0</v>
      </c>
      <c r="J79" s="7">
        <f>SUMPRODUCT(('Monthly Occurrences (Support)'!$C$4:$C$166=$A79)*('Monthly Occurrences (Support)'!$D$4:$D$166="Online")*('Monthly Occurrences (Support)'!$O$4:$O$166))</f>
        <v>3</v>
      </c>
      <c r="K79" s="7">
        <f>SUMPRODUCT(('Monthly Occurrences (Support)'!$C$4:$C$166=$A79)*('Monthly Occurrences (Support)'!$D$4:$D$166="Online")*('Monthly Occurrences (Support)'!$P$4:$P$166))</f>
        <v>5</v>
      </c>
      <c r="L79" s="7">
        <f>SUMPRODUCT(('Monthly Occurrences (Support)'!$C$4:$C$166=$A79)*('Monthly Occurrences (Support)'!$D$4:$D$166="Online")*('Monthly Occurrences (Support)'!$Q$4:$Q$166))</f>
        <v>4</v>
      </c>
      <c r="M79" s="7">
        <f>SUMPRODUCT(('Monthly Occurrences (Support)'!$C$4:$C$166=$A79)*('Monthly Occurrences (Support)'!$D$4:$D$166="Online")*('Monthly Occurrences (Support)'!$R$4:$R$166))</f>
        <v>5</v>
      </c>
      <c r="N79" s="7">
        <f>SUMPRODUCT(('Monthly Occurrences (Support)'!$C$4:$C$166=$A79)*('Monthly Occurrences (Support)'!$D$4:$D$166="Online")*('Monthly Occurrences (Support)'!$S$4:$S$166))</f>
        <v>0</v>
      </c>
      <c r="O79" s="7">
        <f>SUMPRODUCT(('Monthly Occurrences (Support)'!$C$4:$C$166=$A79)*('Monthly Occurrences (Support)'!$D$4:$D$166="Online")*('Monthly Occurrences (Support)'!$T$4:$T$166))</f>
        <v>0</v>
      </c>
      <c r="P79" s="7">
        <f>SUMPRODUCT(('Monthly Occurrences (Support)'!$C$4:$C$166=$A79)*('Monthly Occurrences (Support)'!$D$4:$D$166="Online")*('Monthly Occurrences (Support)'!$U$4:$U$166))</f>
        <v>0</v>
      </c>
      <c r="Q79" s="7">
        <f>SUMPRODUCT(('Monthly Occurrences (Support)'!$C$4:$C$166=$A79)*('Monthly Occurrences (Support)'!$D$4:$D$166="Online")*('Monthly Occurrences (Support)'!$V$4:$V$166))</f>
        <v>0</v>
      </c>
      <c r="R79" s="7">
        <f>SUMPRODUCT(('Monthly Occurrences (Support)'!$C$4:$C$166=$A79)*('Monthly Occurrences (Support)'!$D$4:$D$166="Online")*('Monthly Occurrences (Support)'!$W$4:$W$166))</f>
        <v>0</v>
      </c>
      <c r="S79" s="7">
        <f>SUMPRODUCT(('Monthly Occurrences (Support)'!$C$4:$C$166=$A79)*('Monthly Occurrences (Support)'!$D$4:$D$166="Online")*('Monthly Occurrences (Support)'!$X$4:$X$166))</f>
        <v>0</v>
      </c>
      <c r="T79" s="7">
        <f>SUMPRODUCT(('Monthly Occurrences (Support)'!$C$4:$C$166=$A79)*('Monthly Occurrences (Support)'!$D$4:$D$166="Online")*('Monthly Occurrences (Support)'!$Y$4:$Y$166))</f>
        <v>0</v>
      </c>
      <c r="U79" s="7">
        <f>SUMPRODUCT(('Monthly Occurrences (Support)'!$C$4:$C$166=$A79)*('Monthly Occurrences (Support)'!$D$4:$D$166="Online")*('Monthly Occurrences (Support)'!$Z$4:$Z$166))</f>
        <v>0</v>
      </c>
      <c r="V79" s="7">
        <f>SUMPRODUCT(('Monthly Occurrences (Support)'!$C$4:$C$166=$A79)*('Monthly Occurrences (Support)'!$D$4:$D$166="Online")*('Monthly Occurrences (Support)'!$AA$4:$AA$166))</f>
        <v>0</v>
      </c>
      <c r="W79" s="7">
        <f>SUMPRODUCT(('Monthly Occurrences (Support)'!$C$4:$C$166=$A79)*('Monthly Occurrences (Support)'!$D$4:$D$166="Online")*('Monthly Occurrences (Support)'!$AB$4:$AB$166))</f>
        <v>0</v>
      </c>
    </row>
    <row r="80" spans="1:23" x14ac:dyDescent="0.25">
      <c r="A80" s="15" t="s">
        <v>46</v>
      </c>
      <c r="B80" s="4">
        <f>SUMPRODUCT(('Monthly Occurrences (Support)'!$C$4:$C$166=$A80)*('Monthly Occurrences (Support)'!$D$4:$D$166="Online")*('Monthly Occurrences (Support)'!$G$4:$G$166))</f>
        <v>0</v>
      </c>
      <c r="C80" s="4">
        <f>SUMPRODUCT(('Monthly Occurrences (Support)'!$C$4:$C$166=$A80)*('Monthly Occurrences (Support)'!$D$4:$D$166="Online")*('Monthly Occurrences (Support)'!$H$4:$H$166))</f>
        <v>0</v>
      </c>
      <c r="D80" s="4">
        <f>SUMPRODUCT(('Monthly Occurrences (Support)'!$C$4:$C$166=$A80)*('Monthly Occurrences (Support)'!$D$4:$D$166="Online")*('Monthly Occurrences (Support)'!$I$4:$I$166))</f>
        <v>0</v>
      </c>
      <c r="E80" s="4">
        <f>SUMPRODUCT(('Monthly Occurrences (Support)'!$C$4:$C$166=$A80)*('Monthly Occurrences (Support)'!$D$4:$D$166="Online")*('Monthly Occurrences (Support)'!$J$4:$J$166))</f>
        <v>0</v>
      </c>
      <c r="F80" s="4">
        <f>SUMPRODUCT(('Monthly Occurrences (Support)'!$C$4:$C$166=$A80)*('Monthly Occurrences (Support)'!$D$4:$D$166="Online")*('Monthly Occurrences (Support)'!$K$4:$K$166))</f>
        <v>0</v>
      </c>
      <c r="G80" s="4">
        <f>SUMPRODUCT(('Monthly Occurrences (Support)'!$C$4:$C$166=$A80)*('Monthly Occurrences (Support)'!$D$4:$D$166="Online")*('Monthly Occurrences (Support)'!$L$4:$L$166))</f>
        <v>0</v>
      </c>
      <c r="H80" s="4">
        <f>SUMPRODUCT(('Monthly Occurrences (Support)'!$C$4:$C$166=$A80)*('Monthly Occurrences (Support)'!$D$4:$D$166="Online")*('Monthly Occurrences (Support)'!$M$4:$M$166))</f>
        <v>0</v>
      </c>
      <c r="I80" s="4">
        <f>SUMPRODUCT(('Monthly Occurrences (Support)'!$C$4:$C$166=$A80)*('Monthly Occurrences (Support)'!$D$4:$D$166="Online")*('Monthly Occurrences (Support)'!$N$4:$N$166))</f>
        <v>0</v>
      </c>
      <c r="J80" s="4">
        <f>SUMPRODUCT(('Monthly Occurrences (Support)'!$C$4:$C$166=$A80)*('Monthly Occurrences (Support)'!$D$4:$D$166="Online")*('Monthly Occurrences (Support)'!$O$4:$O$166))</f>
        <v>0</v>
      </c>
      <c r="K80" s="4">
        <f>SUMPRODUCT(('Monthly Occurrences (Support)'!$C$4:$C$166=$A80)*('Monthly Occurrences (Support)'!$D$4:$D$166="Online")*('Monthly Occurrences (Support)'!$P$4:$P$166))</f>
        <v>0</v>
      </c>
      <c r="L80" s="4">
        <f>SUMPRODUCT(('Monthly Occurrences (Support)'!$C$4:$C$166=$A80)*('Monthly Occurrences (Support)'!$D$4:$D$166="Online")*('Monthly Occurrences (Support)'!$Q$4:$Q$166))</f>
        <v>0</v>
      </c>
      <c r="M80" s="4">
        <f>SUMPRODUCT(('Monthly Occurrences (Support)'!$C$4:$C$166=$A80)*('Monthly Occurrences (Support)'!$D$4:$D$166="Online")*('Monthly Occurrences (Support)'!$R$4:$R$166))</f>
        <v>0</v>
      </c>
      <c r="N80" s="4">
        <f>SUMPRODUCT(('Monthly Occurrences (Support)'!$C$4:$C$166=$A80)*('Monthly Occurrences (Support)'!$D$4:$D$166="Online")*('Monthly Occurrences (Support)'!$S$4:$S$166))</f>
        <v>0</v>
      </c>
      <c r="O80" s="4">
        <f>SUMPRODUCT(('Monthly Occurrences (Support)'!$C$4:$C$166=$A80)*('Monthly Occurrences (Support)'!$D$4:$D$166="Online")*('Monthly Occurrences (Support)'!$T$4:$T$166))</f>
        <v>0</v>
      </c>
      <c r="P80" s="4">
        <f>SUMPRODUCT(('Monthly Occurrences (Support)'!$C$4:$C$166=$A80)*('Monthly Occurrences (Support)'!$D$4:$D$166="Online")*('Monthly Occurrences (Support)'!$U$4:$U$166))</f>
        <v>0</v>
      </c>
      <c r="Q80" s="4">
        <f>SUMPRODUCT(('Monthly Occurrences (Support)'!$C$4:$C$166=$A80)*('Monthly Occurrences (Support)'!$D$4:$D$166="Online")*('Monthly Occurrences (Support)'!$V$4:$V$166))</f>
        <v>0</v>
      </c>
      <c r="R80" s="4">
        <f>SUMPRODUCT(('Monthly Occurrences (Support)'!$C$4:$C$166=$A80)*('Monthly Occurrences (Support)'!$D$4:$D$166="Online")*('Monthly Occurrences (Support)'!$W$4:$W$166))</f>
        <v>0</v>
      </c>
      <c r="S80" s="4">
        <f>SUMPRODUCT(('Monthly Occurrences (Support)'!$C$4:$C$166=$A80)*('Monthly Occurrences (Support)'!$D$4:$D$166="Online")*('Monthly Occurrences (Support)'!$X$4:$X$166))</f>
        <v>0</v>
      </c>
      <c r="T80" s="4">
        <f>SUMPRODUCT(('Monthly Occurrences (Support)'!$C$4:$C$166=$A80)*('Monthly Occurrences (Support)'!$D$4:$D$166="Online")*('Monthly Occurrences (Support)'!$Y$4:$Y$166))</f>
        <v>0</v>
      </c>
      <c r="U80" s="4">
        <f>SUMPRODUCT(('Monthly Occurrences (Support)'!$C$4:$C$166=$A80)*('Monthly Occurrences (Support)'!$D$4:$D$166="Online")*('Monthly Occurrences (Support)'!$Z$4:$Z$166))</f>
        <v>0</v>
      </c>
      <c r="V80" s="4">
        <f>SUMPRODUCT(('Monthly Occurrences (Support)'!$C$4:$C$166=$A80)*('Monthly Occurrences (Support)'!$D$4:$D$166="Online")*('Monthly Occurrences (Support)'!$AA$4:$AA$166))</f>
        <v>0</v>
      </c>
      <c r="W80" s="4">
        <f>SUMPRODUCT(('Monthly Occurrences (Support)'!$C$4:$C$166=$A80)*('Monthly Occurrences (Support)'!$D$4:$D$166="Online")*('Monthly Occurrences (Support)'!$AB$4:$AB$166))</f>
        <v>0</v>
      </c>
    </row>
    <row r="81" spans="1:23" x14ac:dyDescent="0.25">
      <c r="A81" s="16" t="s">
        <v>47</v>
      </c>
      <c r="B81" s="7">
        <f>SUMPRODUCT(('Monthly Occurrences (Support)'!$C$4:$C$166=$A81)*('Monthly Occurrences (Support)'!$D$4:$D$166="Online")*('Monthly Occurrences (Support)'!$G$4:$G$166))</f>
        <v>0</v>
      </c>
      <c r="C81" s="7">
        <f>SUMPRODUCT(('Monthly Occurrences (Support)'!$C$4:$C$166=$A81)*('Monthly Occurrences (Support)'!$D$4:$D$166="Online")*('Monthly Occurrences (Support)'!$H$4:$H$166))</f>
        <v>0</v>
      </c>
      <c r="D81" s="7">
        <f>SUMPRODUCT(('Monthly Occurrences (Support)'!$C$4:$C$166=$A81)*('Monthly Occurrences (Support)'!$D$4:$D$166="Online")*('Monthly Occurrences (Support)'!$I$4:$I$166))</f>
        <v>0</v>
      </c>
      <c r="E81" s="7">
        <f>SUMPRODUCT(('Monthly Occurrences (Support)'!$C$4:$C$166=$A81)*('Monthly Occurrences (Support)'!$D$4:$D$166="Online")*('Monthly Occurrences (Support)'!$J$4:$J$166))</f>
        <v>0</v>
      </c>
      <c r="F81" s="7">
        <f>SUMPRODUCT(('Monthly Occurrences (Support)'!$C$4:$C$166=$A81)*('Monthly Occurrences (Support)'!$D$4:$D$166="Online")*('Monthly Occurrences (Support)'!$K$4:$K$166))</f>
        <v>0</v>
      </c>
      <c r="G81" s="7">
        <f>SUMPRODUCT(('Monthly Occurrences (Support)'!$C$4:$C$166=$A81)*('Monthly Occurrences (Support)'!$D$4:$D$166="Online")*('Monthly Occurrences (Support)'!$L$4:$L$166))</f>
        <v>0</v>
      </c>
      <c r="H81" s="7">
        <f>SUMPRODUCT(('Monthly Occurrences (Support)'!$C$4:$C$166=$A81)*('Monthly Occurrences (Support)'!$D$4:$D$166="Online")*('Monthly Occurrences (Support)'!$M$4:$M$166))</f>
        <v>0</v>
      </c>
      <c r="I81" s="7">
        <f>SUMPRODUCT(('Monthly Occurrences (Support)'!$C$4:$C$166=$A81)*('Monthly Occurrences (Support)'!$D$4:$D$166="Online")*('Monthly Occurrences (Support)'!$N$4:$N$166))</f>
        <v>0</v>
      </c>
      <c r="J81" s="7">
        <f>SUMPRODUCT(('Monthly Occurrences (Support)'!$C$4:$C$166=$A81)*('Monthly Occurrences (Support)'!$D$4:$D$166="Online")*('Monthly Occurrences (Support)'!$O$4:$O$166))</f>
        <v>0</v>
      </c>
      <c r="K81" s="7">
        <f>SUMPRODUCT(('Monthly Occurrences (Support)'!$C$4:$C$166=$A81)*('Monthly Occurrences (Support)'!$D$4:$D$166="Online")*('Monthly Occurrences (Support)'!$P$4:$P$166))</f>
        <v>0</v>
      </c>
      <c r="L81" s="7">
        <f>SUMPRODUCT(('Monthly Occurrences (Support)'!$C$4:$C$166=$A81)*('Monthly Occurrences (Support)'!$D$4:$D$166="Online")*('Monthly Occurrences (Support)'!$Q$4:$Q$166))</f>
        <v>0</v>
      </c>
      <c r="M81" s="7">
        <f>SUMPRODUCT(('Monthly Occurrences (Support)'!$C$4:$C$166=$A81)*('Monthly Occurrences (Support)'!$D$4:$D$166="Online")*('Monthly Occurrences (Support)'!$R$4:$R$166))</f>
        <v>0</v>
      </c>
      <c r="N81" s="7">
        <f>SUMPRODUCT(('Monthly Occurrences (Support)'!$C$4:$C$166=$A81)*('Monthly Occurrences (Support)'!$D$4:$D$166="Online")*('Monthly Occurrences (Support)'!$S$4:$S$166))</f>
        <v>0</v>
      </c>
      <c r="O81" s="7">
        <f>SUMPRODUCT(('Monthly Occurrences (Support)'!$C$4:$C$166=$A81)*('Monthly Occurrences (Support)'!$D$4:$D$166="Online")*('Monthly Occurrences (Support)'!$T$4:$T$166))</f>
        <v>0</v>
      </c>
      <c r="P81" s="7">
        <f>SUMPRODUCT(('Monthly Occurrences (Support)'!$C$4:$C$166=$A81)*('Monthly Occurrences (Support)'!$D$4:$D$166="Online")*('Monthly Occurrences (Support)'!$U$4:$U$166))</f>
        <v>0</v>
      </c>
      <c r="Q81" s="7">
        <f>SUMPRODUCT(('Monthly Occurrences (Support)'!$C$4:$C$166=$A81)*('Monthly Occurrences (Support)'!$D$4:$D$166="Online")*('Monthly Occurrences (Support)'!$V$4:$V$166))</f>
        <v>0</v>
      </c>
      <c r="R81" s="7">
        <f>SUMPRODUCT(('Monthly Occurrences (Support)'!$C$4:$C$166=$A81)*('Monthly Occurrences (Support)'!$D$4:$D$166="Online")*('Monthly Occurrences (Support)'!$W$4:$W$166))</f>
        <v>0</v>
      </c>
      <c r="S81" s="7">
        <f>SUMPRODUCT(('Monthly Occurrences (Support)'!$C$4:$C$166=$A81)*('Monthly Occurrences (Support)'!$D$4:$D$166="Online")*('Monthly Occurrences (Support)'!$X$4:$X$166))</f>
        <v>0</v>
      </c>
      <c r="T81" s="7">
        <f>SUMPRODUCT(('Monthly Occurrences (Support)'!$C$4:$C$166=$A81)*('Monthly Occurrences (Support)'!$D$4:$D$166="Online")*('Monthly Occurrences (Support)'!$Y$4:$Y$166))</f>
        <v>0</v>
      </c>
      <c r="U81" s="7">
        <f>SUMPRODUCT(('Monthly Occurrences (Support)'!$C$4:$C$166=$A81)*('Monthly Occurrences (Support)'!$D$4:$D$166="Online")*('Monthly Occurrences (Support)'!$Z$4:$Z$166))</f>
        <v>0</v>
      </c>
      <c r="V81" s="7">
        <f>SUMPRODUCT(('Monthly Occurrences (Support)'!$C$4:$C$166=$A81)*('Monthly Occurrences (Support)'!$D$4:$D$166="Online")*('Monthly Occurrences (Support)'!$AA$4:$AA$166))</f>
        <v>0</v>
      </c>
      <c r="W81" s="7">
        <f>SUMPRODUCT(('Monthly Occurrences (Support)'!$C$4:$C$166=$A81)*('Monthly Occurrences (Support)'!$D$4:$D$166="Online")*('Monthly Occurrences (Support)'!$AB$4:$AB$166))</f>
        <v>0</v>
      </c>
    </row>
    <row r="82" spans="1:23" x14ac:dyDescent="0.25">
      <c r="A82" s="15" t="s">
        <v>48</v>
      </c>
      <c r="B82" s="4">
        <f>SUMPRODUCT(('Monthly Occurrences (Support)'!$C$4:$C$166=$A82)*('Monthly Occurrences (Support)'!$D$4:$D$166="Online")*('Monthly Occurrences (Support)'!$G$4:$G$166))</f>
        <v>0</v>
      </c>
      <c r="C82" s="4">
        <f>SUMPRODUCT(('Monthly Occurrences (Support)'!$C$4:$C$166=$A82)*('Monthly Occurrences (Support)'!$D$4:$D$166="Online")*('Monthly Occurrences (Support)'!$H$4:$H$166))</f>
        <v>0</v>
      </c>
      <c r="D82" s="4">
        <f>SUMPRODUCT(('Monthly Occurrences (Support)'!$C$4:$C$166=$A82)*('Monthly Occurrences (Support)'!$D$4:$D$166="Online")*('Monthly Occurrences (Support)'!$I$4:$I$166))</f>
        <v>0</v>
      </c>
      <c r="E82" s="4">
        <f>SUMPRODUCT(('Monthly Occurrences (Support)'!$C$4:$C$166=$A82)*('Monthly Occurrences (Support)'!$D$4:$D$166="Online")*('Monthly Occurrences (Support)'!$J$4:$J$166))</f>
        <v>0</v>
      </c>
      <c r="F82" s="4">
        <f>SUMPRODUCT(('Monthly Occurrences (Support)'!$C$4:$C$166=$A82)*('Monthly Occurrences (Support)'!$D$4:$D$166="Online")*('Monthly Occurrences (Support)'!$K$4:$K$166))</f>
        <v>0</v>
      </c>
      <c r="G82" s="4">
        <f>SUMPRODUCT(('Monthly Occurrences (Support)'!$C$4:$C$166=$A82)*('Monthly Occurrences (Support)'!$D$4:$D$166="Online")*('Monthly Occurrences (Support)'!$L$4:$L$166))</f>
        <v>0</v>
      </c>
      <c r="H82" s="4">
        <f>SUMPRODUCT(('Monthly Occurrences (Support)'!$C$4:$C$166=$A82)*('Monthly Occurrences (Support)'!$D$4:$D$166="Online")*('Monthly Occurrences (Support)'!$M$4:$M$166))</f>
        <v>0</v>
      </c>
      <c r="I82" s="4">
        <f>SUMPRODUCT(('Monthly Occurrences (Support)'!$C$4:$C$166=$A82)*('Monthly Occurrences (Support)'!$D$4:$D$166="Online")*('Monthly Occurrences (Support)'!$N$4:$N$166))</f>
        <v>0</v>
      </c>
      <c r="J82" s="4">
        <f>SUMPRODUCT(('Monthly Occurrences (Support)'!$C$4:$C$166=$A82)*('Monthly Occurrences (Support)'!$D$4:$D$166="Online")*('Monthly Occurrences (Support)'!$O$4:$O$166))</f>
        <v>0</v>
      </c>
      <c r="K82" s="4">
        <f>SUMPRODUCT(('Monthly Occurrences (Support)'!$C$4:$C$166=$A82)*('Monthly Occurrences (Support)'!$D$4:$D$166="Online")*('Monthly Occurrences (Support)'!$P$4:$P$166))</f>
        <v>0</v>
      </c>
      <c r="L82" s="4">
        <f>SUMPRODUCT(('Monthly Occurrences (Support)'!$C$4:$C$166=$A82)*('Monthly Occurrences (Support)'!$D$4:$D$166="Online")*('Monthly Occurrences (Support)'!$Q$4:$Q$166))</f>
        <v>0</v>
      </c>
      <c r="M82" s="4">
        <f>SUMPRODUCT(('Monthly Occurrences (Support)'!$C$4:$C$166=$A82)*('Monthly Occurrences (Support)'!$D$4:$D$166="Online")*('Monthly Occurrences (Support)'!$R$4:$R$166))</f>
        <v>0</v>
      </c>
      <c r="N82" s="4">
        <f>SUMPRODUCT(('Monthly Occurrences (Support)'!$C$4:$C$166=$A82)*('Monthly Occurrences (Support)'!$D$4:$D$166="Online")*('Monthly Occurrences (Support)'!$S$4:$S$166))</f>
        <v>0</v>
      </c>
      <c r="O82" s="4">
        <f>SUMPRODUCT(('Monthly Occurrences (Support)'!$C$4:$C$166=$A82)*('Monthly Occurrences (Support)'!$D$4:$D$166="Online")*('Monthly Occurrences (Support)'!$T$4:$T$166))</f>
        <v>0</v>
      </c>
      <c r="P82" s="4">
        <f>SUMPRODUCT(('Monthly Occurrences (Support)'!$C$4:$C$166=$A82)*('Monthly Occurrences (Support)'!$D$4:$D$166="Online")*('Monthly Occurrences (Support)'!$U$4:$U$166))</f>
        <v>0</v>
      </c>
      <c r="Q82" s="4">
        <f>SUMPRODUCT(('Monthly Occurrences (Support)'!$C$4:$C$166=$A82)*('Monthly Occurrences (Support)'!$D$4:$D$166="Online")*('Monthly Occurrences (Support)'!$V$4:$V$166))</f>
        <v>0</v>
      </c>
      <c r="R82" s="4">
        <f>SUMPRODUCT(('Monthly Occurrences (Support)'!$C$4:$C$166=$A82)*('Monthly Occurrences (Support)'!$D$4:$D$166="Online")*('Monthly Occurrences (Support)'!$W$4:$W$166))</f>
        <v>0</v>
      </c>
      <c r="S82" s="4">
        <f>SUMPRODUCT(('Monthly Occurrences (Support)'!$C$4:$C$166=$A82)*('Monthly Occurrences (Support)'!$D$4:$D$166="Online")*('Monthly Occurrences (Support)'!$X$4:$X$166))</f>
        <v>0</v>
      </c>
      <c r="T82" s="4">
        <f>SUMPRODUCT(('Monthly Occurrences (Support)'!$C$4:$C$166=$A82)*('Monthly Occurrences (Support)'!$D$4:$D$166="Online")*('Monthly Occurrences (Support)'!$Y$4:$Y$166))</f>
        <v>0</v>
      </c>
      <c r="U82" s="4">
        <f>SUMPRODUCT(('Monthly Occurrences (Support)'!$C$4:$C$166=$A82)*('Monthly Occurrences (Support)'!$D$4:$D$166="Online")*('Monthly Occurrences (Support)'!$Z$4:$Z$166))</f>
        <v>0</v>
      </c>
      <c r="V82" s="4">
        <f>SUMPRODUCT(('Monthly Occurrences (Support)'!$C$4:$C$166=$A82)*('Monthly Occurrences (Support)'!$D$4:$D$166="Online")*('Monthly Occurrences (Support)'!$AA$4:$AA$166))</f>
        <v>0</v>
      </c>
      <c r="W82" s="4">
        <f>SUMPRODUCT(('Monthly Occurrences (Support)'!$C$4:$C$166=$A82)*('Monthly Occurrences (Support)'!$D$4:$D$166="Online")*('Monthly Occurrences (Support)'!$AB$4:$AB$166))</f>
        <v>0</v>
      </c>
    </row>
    <row r="83" spans="1:23" x14ac:dyDescent="0.25">
      <c r="A83" s="16" t="s">
        <v>49</v>
      </c>
      <c r="B83" s="7">
        <f>SUMPRODUCT(('Monthly Occurrences (Support)'!$C$4:$C$166=$A83)*('Monthly Occurrences (Support)'!$D$4:$D$166="Online")*('Monthly Occurrences (Support)'!$G$4:$G$166))</f>
        <v>0</v>
      </c>
      <c r="C83" s="7">
        <f>SUMPRODUCT(('Monthly Occurrences (Support)'!$C$4:$C$166=$A83)*('Monthly Occurrences (Support)'!$D$4:$D$166="Online")*('Monthly Occurrences (Support)'!$H$4:$H$166))</f>
        <v>0</v>
      </c>
      <c r="D83" s="7">
        <f>SUMPRODUCT(('Monthly Occurrences (Support)'!$C$4:$C$166=$A83)*('Monthly Occurrences (Support)'!$D$4:$D$166="Online")*('Monthly Occurrences (Support)'!$I$4:$I$166))</f>
        <v>0</v>
      </c>
      <c r="E83" s="7">
        <f>SUMPRODUCT(('Monthly Occurrences (Support)'!$C$4:$C$166=$A83)*('Monthly Occurrences (Support)'!$D$4:$D$166="Online")*('Monthly Occurrences (Support)'!$J$4:$J$166))</f>
        <v>0</v>
      </c>
      <c r="F83" s="7">
        <f>SUMPRODUCT(('Monthly Occurrences (Support)'!$C$4:$C$166=$A83)*('Monthly Occurrences (Support)'!$D$4:$D$166="Online")*('Monthly Occurrences (Support)'!$K$4:$K$166))</f>
        <v>0</v>
      </c>
      <c r="G83" s="7">
        <f>SUMPRODUCT(('Monthly Occurrences (Support)'!$C$4:$C$166=$A83)*('Monthly Occurrences (Support)'!$D$4:$D$166="Online")*('Monthly Occurrences (Support)'!$L$4:$L$166))</f>
        <v>0</v>
      </c>
      <c r="H83" s="7">
        <f>SUMPRODUCT(('Monthly Occurrences (Support)'!$C$4:$C$166=$A83)*('Monthly Occurrences (Support)'!$D$4:$D$166="Online")*('Monthly Occurrences (Support)'!$M$4:$M$166))</f>
        <v>0</v>
      </c>
      <c r="I83" s="7">
        <f>SUMPRODUCT(('Monthly Occurrences (Support)'!$C$4:$C$166=$A83)*('Monthly Occurrences (Support)'!$D$4:$D$166="Online")*('Monthly Occurrences (Support)'!$N$4:$N$166))</f>
        <v>0</v>
      </c>
      <c r="J83" s="7">
        <f>SUMPRODUCT(('Monthly Occurrences (Support)'!$C$4:$C$166=$A83)*('Monthly Occurrences (Support)'!$D$4:$D$166="Online")*('Monthly Occurrences (Support)'!$O$4:$O$166))</f>
        <v>0</v>
      </c>
      <c r="K83" s="7">
        <f>SUMPRODUCT(('Monthly Occurrences (Support)'!$C$4:$C$166=$A83)*('Monthly Occurrences (Support)'!$D$4:$D$166="Online")*('Monthly Occurrences (Support)'!$P$4:$P$166))</f>
        <v>0</v>
      </c>
      <c r="L83" s="7">
        <f>SUMPRODUCT(('Monthly Occurrences (Support)'!$C$4:$C$166=$A83)*('Monthly Occurrences (Support)'!$D$4:$D$166="Online")*('Monthly Occurrences (Support)'!$Q$4:$Q$166))</f>
        <v>0</v>
      </c>
      <c r="M83" s="7">
        <f>SUMPRODUCT(('Monthly Occurrences (Support)'!$C$4:$C$166=$A83)*('Monthly Occurrences (Support)'!$D$4:$D$166="Online")*('Monthly Occurrences (Support)'!$R$4:$R$166))</f>
        <v>0</v>
      </c>
      <c r="N83" s="7">
        <f>SUMPRODUCT(('Monthly Occurrences (Support)'!$C$4:$C$166=$A83)*('Monthly Occurrences (Support)'!$D$4:$D$166="Online")*('Monthly Occurrences (Support)'!$S$4:$S$166))</f>
        <v>0</v>
      </c>
      <c r="O83" s="7">
        <f>SUMPRODUCT(('Monthly Occurrences (Support)'!$C$4:$C$166=$A83)*('Monthly Occurrences (Support)'!$D$4:$D$166="Online")*('Monthly Occurrences (Support)'!$T$4:$T$166))</f>
        <v>0</v>
      </c>
      <c r="P83" s="7">
        <f>SUMPRODUCT(('Monthly Occurrences (Support)'!$C$4:$C$166=$A83)*('Monthly Occurrences (Support)'!$D$4:$D$166="Online")*('Monthly Occurrences (Support)'!$U$4:$U$166))</f>
        <v>0</v>
      </c>
      <c r="Q83" s="7">
        <f>SUMPRODUCT(('Monthly Occurrences (Support)'!$C$4:$C$166=$A83)*('Monthly Occurrences (Support)'!$D$4:$D$166="Online")*('Monthly Occurrences (Support)'!$V$4:$V$166))</f>
        <v>0</v>
      </c>
      <c r="R83" s="7">
        <f>SUMPRODUCT(('Monthly Occurrences (Support)'!$C$4:$C$166=$A83)*('Monthly Occurrences (Support)'!$D$4:$D$166="Online")*('Monthly Occurrences (Support)'!$W$4:$W$166))</f>
        <v>0</v>
      </c>
      <c r="S83" s="7">
        <f>SUMPRODUCT(('Monthly Occurrences (Support)'!$C$4:$C$166=$A83)*('Monthly Occurrences (Support)'!$D$4:$D$166="Online")*('Monthly Occurrences (Support)'!$X$4:$X$166))</f>
        <v>0</v>
      </c>
      <c r="T83" s="7">
        <f>SUMPRODUCT(('Monthly Occurrences (Support)'!$C$4:$C$166=$A83)*('Monthly Occurrences (Support)'!$D$4:$D$166="Online")*('Monthly Occurrences (Support)'!$Y$4:$Y$166))</f>
        <v>0</v>
      </c>
      <c r="U83" s="7">
        <f>SUMPRODUCT(('Monthly Occurrences (Support)'!$C$4:$C$166=$A83)*('Monthly Occurrences (Support)'!$D$4:$D$166="Online")*('Monthly Occurrences (Support)'!$Z$4:$Z$166))</f>
        <v>0</v>
      </c>
      <c r="V83" s="7">
        <f>SUMPRODUCT(('Monthly Occurrences (Support)'!$C$4:$C$166=$A83)*('Monthly Occurrences (Support)'!$D$4:$D$166="Online")*('Monthly Occurrences (Support)'!$AA$4:$AA$166))</f>
        <v>0</v>
      </c>
      <c r="W83" s="7">
        <f>SUMPRODUCT(('Monthly Occurrences (Support)'!$C$4:$C$166=$A83)*('Monthly Occurrences (Support)'!$D$4:$D$166="Online")*('Monthly Occurrences (Support)'!$AB$4:$AB$166))</f>
        <v>0</v>
      </c>
    </row>
    <row r="84" spans="1:23" x14ac:dyDescent="0.25">
      <c r="A84" s="15" t="s">
        <v>50</v>
      </c>
      <c r="B84" s="4">
        <f>SUMPRODUCT(('Monthly Occurrences (Support)'!$C$4:$C$166=$A84)*('Monthly Occurrences (Support)'!$D$4:$D$166="Online")*('Monthly Occurrences (Support)'!$G$4:$G$166))</f>
        <v>0</v>
      </c>
      <c r="C84" s="4">
        <f>SUMPRODUCT(('Monthly Occurrences (Support)'!$C$4:$C$166=$A84)*('Monthly Occurrences (Support)'!$D$4:$D$166="Online")*('Monthly Occurrences (Support)'!$H$4:$H$166))</f>
        <v>0</v>
      </c>
      <c r="D84" s="4">
        <f>SUMPRODUCT(('Monthly Occurrences (Support)'!$C$4:$C$166=$A84)*('Monthly Occurrences (Support)'!$D$4:$D$166="Online")*('Monthly Occurrences (Support)'!$I$4:$I$166))</f>
        <v>0</v>
      </c>
      <c r="E84" s="4">
        <f>SUMPRODUCT(('Monthly Occurrences (Support)'!$C$4:$C$166=$A84)*('Monthly Occurrences (Support)'!$D$4:$D$166="Online")*('Monthly Occurrences (Support)'!$J$4:$J$166))</f>
        <v>0</v>
      </c>
      <c r="F84" s="4">
        <f>SUMPRODUCT(('Monthly Occurrences (Support)'!$C$4:$C$166=$A84)*('Monthly Occurrences (Support)'!$D$4:$D$166="Online")*('Monthly Occurrences (Support)'!$K$4:$K$166))</f>
        <v>0</v>
      </c>
      <c r="G84" s="4">
        <f>SUMPRODUCT(('Monthly Occurrences (Support)'!$C$4:$C$166=$A84)*('Monthly Occurrences (Support)'!$D$4:$D$166="Online")*('Monthly Occurrences (Support)'!$L$4:$L$166))</f>
        <v>0</v>
      </c>
      <c r="H84" s="4">
        <f>SUMPRODUCT(('Monthly Occurrences (Support)'!$C$4:$C$166=$A84)*('Monthly Occurrences (Support)'!$D$4:$D$166="Online")*('Monthly Occurrences (Support)'!$M$4:$M$166))</f>
        <v>0</v>
      </c>
      <c r="I84" s="4">
        <f>SUMPRODUCT(('Monthly Occurrences (Support)'!$C$4:$C$166=$A84)*('Monthly Occurrences (Support)'!$D$4:$D$166="Online")*('Monthly Occurrences (Support)'!$N$4:$N$166))</f>
        <v>0</v>
      </c>
      <c r="J84" s="4">
        <f>SUMPRODUCT(('Monthly Occurrences (Support)'!$C$4:$C$166=$A84)*('Monthly Occurrences (Support)'!$D$4:$D$166="Online")*('Monthly Occurrences (Support)'!$O$4:$O$166))</f>
        <v>0</v>
      </c>
      <c r="K84" s="4">
        <f>SUMPRODUCT(('Monthly Occurrences (Support)'!$C$4:$C$166=$A84)*('Monthly Occurrences (Support)'!$D$4:$D$166="Online")*('Monthly Occurrences (Support)'!$P$4:$P$166))</f>
        <v>0</v>
      </c>
      <c r="L84" s="4">
        <f>SUMPRODUCT(('Monthly Occurrences (Support)'!$C$4:$C$166=$A84)*('Monthly Occurrences (Support)'!$D$4:$D$166="Online")*('Monthly Occurrences (Support)'!$Q$4:$Q$166))</f>
        <v>0</v>
      </c>
      <c r="M84" s="4">
        <f>SUMPRODUCT(('Monthly Occurrences (Support)'!$C$4:$C$166=$A84)*('Monthly Occurrences (Support)'!$D$4:$D$166="Online")*('Monthly Occurrences (Support)'!$R$4:$R$166))</f>
        <v>0</v>
      </c>
      <c r="N84" s="4">
        <f>SUMPRODUCT(('Monthly Occurrences (Support)'!$C$4:$C$166=$A84)*('Monthly Occurrences (Support)'!$D$4:$D$166="Online")*('Monthly Occurrences (Support)'!$S$4:$S$166))</f>
        <v>0</v>
      </c>
      <c r="O84" s="4">
        <f>SUMPRODUCT(('Monthly Occurrences (Support)'!$C$4:$C$166=$A84)*('Monthly Occurrences (Support)'!$D$4:$D$166="Online")*('Monthly Occurrences (Support)'!$T$4:$T$166))</f>
        <v>0</v>
      </c>
      <c r="P84" s="4">
        <f>SUMPRODUCT(('Monthly Occurrences (Support)'!$C$4:$C$166=$A84)*('Monthly Occurrences (Support)'!$D$4:$D$166="Online")*('Monthly Occurrences (Support)'!$U$4:$U$166))</f>
        <v>0</v>
      </c>
      <c r="Q84" s="4">
        <f>SUMPRODUCT(('Monthly Occurrences (Support)'!$C$4:$C$166=$A84)*('Monthly Occurrences (Support)'!$D$4:$D$166="Online")*('Monthly Occurrences (Support)'!$V$4:$V$166))</f>
        <v>0</v>
      </c>
      <c r="R84" s="4">
        <f>SUMPRODUCT(('Monthly Occurrences (Support)'!$C$4:$C$166=$A84)*('Monthly Occurrences (Support)'!$D$4:$D$166="Online")*('Monthly Occurrences (Support)'!$W$4:$W$166))</f>
        <v>0</v>
      </c>
      <c r="S84" s="4">
        <f>SUMPRODUCT(('Monthly Occurrences (Support)'!$C$4:$C$166=$A84)*('Monthly Occurrences (Support)'!$D$4:$D$166="Online")*('Monthly Occurrences (Support)'!$X$4:$X$166))</f>
        <v>0</v>
      </c>
      <c r="T84" s="4">
        <f>SUMPRODUCT(('Monthly Occurrences (Support)'!$C$4:$C$166=$A84)*('Monthly Occurrences (Support)'!$D$4:$D$166="Online")*('Monthly Occurrences (Support)'!$Y$4:$Y$166))</f>
        <v>0</v>
      </c>
      <c r="U84" s="4">
        <f>SUMPRODUCT(('Monthly Occurrences (Support)'!$C$4:$C$166=$A84)*('Monthly Occurrences (Support)'!$D$4:$D$166="Online")*('Monthly Occurrences (Support)'!$Z$4:$Z$166))</f>
        <v>0</v>
      </c>
      <c r="V84" s="4">
        <f>SUMPRODUCT(('Monthly Occurrences (Support)'!$C$4:$C$166=$A84)*('Monthly Occurrences (Support)'!$D$4:$D$166="Online")*('Monthly Occurrences (Support)'!$AA$4:$AA$166))</f>
        <v>0</v>
      </c>
      <c r="W84" s="4">
        <f>SUMPRODUCT(('Monthly Occurrences (Support)'!$C$4:$C$166=$A84)*('Monthly Occurrences (Support)'!$D$4:$D$166="Online")*('Monthly Occurrences (Support)'!$AB$4:$AB$166))</f>
        <v>0</v>
      </c>
    </row>
    <row r="85" spans="1:23" x14ac:dyDescent="0.25">
      <c r="A85" s="16" t="s">
        <v>51</v>
      </c>
      <c r="B85" s="7">
        <f>SUMPRODUCT(('Monthly Occurrences (Support)'!$C$4:$C$166=$A85)*('Monthly Occurrences (Support)'!$D$4:$D$166="Online")*('Monthly Occurrences (Support)'!$G$4:$G$166))</f>
        <v>0</v>
      </c>
      <c r="C85" s="7">
        <f>SUMPRODUCT(('Monthly Occurrences (Support)'!$C$4:$C$166=$A85)*('Monthly Occurrences (Support)'!$D$4:$D$166="Online")*('Monthly Occurrences (Support)'!$H$4:$H$166))</f>
        <v>0</v>
      </c>
      <c r="D85" s="7">
        <f>SUMPRODUCT(('Monthly Occurrences (Support)'!$C$4:$C$166=$A85)*('Monthly Occurrences (Support)'!$D$4:$D$166="Online")*('Monthly Occurrences (Support)'!$I$4:$I$166))</f>
        <v>0</v>
      </c>
      <c r="E85" s="7">
        <f>SUMPRODUCT(('Monthly Occurrences (Support)'!$C$4:$C$166=$A85)*('Monthly Occurrences (Support)'!$D$4:$D$166="Online")*('Monthly Occurrences (Support)'!$J$4:$J$166))</f>
        <v>0</v>
      </c>
      <c r="F85" s="7">
        <f>SUMPRODUCT(('Monthly Occurrences (Support)'!$C$4:$C$166=$A85)*('Monthly Occurrences (Support)'!$D$4:$D$166="Online")*('Monthly Occurrences (Support)'!$K$4:$K$166))</f>
        <v>0</v>
      </c>
      <c r="G85" s="7">
        <f>SUMPRODUCT(('Monthly Occurrences (Support)'!$C$4:$C$166=$A85)*('Monthly Occurrences (Support)'!$D$4:$D$166="Online")*('Monthly Occurrences (Support)'!$L$4:$L$166))</f>
        <v>0</v>
      </c>
      <c r="H85" s="7">
        <f>SUMPRODUCT(('Monthly Occurrences (Support)'!$C$4:$C$166=$A85)*('Monthly Occurrences (Support)'!$D$4:$D$166="Online")*('Monthly Occurrences (Support)'!$M$4:$M$166))</f>
        <v>0</v>
      </c>
      <c r="I85" s="7">
        <f>SUMPRODUCT(('Monthly Occurrences (Support)'!$C$4:$C$166=$A85)*('Monthly Occurrences (Support)'!$D$4:$D$166="Online")*('Monthly Occurrences (Support)'!$N$4:$N$166))</f>
        <v>0</v>
      </c>
      <c r="J85" s="7">
        <f>SUMPRODUCT(('Monthly Occurrences (Support)'!$C$4:$C$166=$A85)*('Monthly Occurrences (Support)'!$D$4:$D$166="Online")*('Monthly Occurrences (Support)'!$O$4:$O$166))</f>
        <v>0</v>
      </c>
      <c r="K85" s="7">
        <f>SUMPRODUCT(('Monthly Occurrences (Support)'!$C$4:$C$166=$A85)*('Monthly Occurrences (Support)'!$D$4:$D$166="Online")*('Monthly Occurrences (Support)'!$P$4:$P$166))</f>
        <v>0</v>
      </c>
      <c r="L85" s="7">
        <f>SUMPRODUCT(('Monthly Occurrences (Support)'!$C$4:$C$166=$A85)*('Monthly Occurrences (Support)'!$D$4:$D$166="Online")*('Monthly Occurrences (Support)'!$Q$4:$Q$166))</f>
        <v>0</v>
      </c>
      <c r="M85" s="7">
        <f>SUMPRODUCT(('Monthly Occurrences (Support)'!$C$4:$C$166=$A85)*('Monthly Occurrences (Support)'!$D$4:$D$166="Online")*('Monthly Occurrences (Support)'!$R$4:$R$166))</f>
        <v>0</v>
      </c>
      <c r="N85" s="7">
        <f>SUMPRODUCT(('Monthly Occurrences (Support)'!$C$4:$C$166=$A85)*('Monthly Occurrences (Support)'!$D$4:$D$166="Online")*('Monthly Occurrences (Support)'!$S$4:$S$166))</f>
        <v>0</v>
      </c>
      <c r="O85" s="7">
        <f>SUMPRODUCT(('Monthly Occurrences (Support)'!$C$4:$C$166=$A85)*('Monthly Occurrences (Support)'!$D$4:$D$166="Online")*('Monthly Occurrences (Support)'!$T$4:$T$166))</f>
        <v>0</v>
      </c>
      <c r="P85" s="7">
        <f>SUMPRODUCT(('Monthly Occurrences (Support)'!$C$4:$C$166=$A85)*('Monthly Occurrences (Support)'!$D$4:$D$166="Online")*('Monthly Occurrences (Support)'!$U$4:$U$166))</f>
        <v>0</v>
      </c>
      <c r="Q85" s="7">
        <f>SUMPRODUCT(('Monthly Occurrences (Support)'!$C$4:$C$166=$A85)*('Monthly Occurrences (Support)'!$D$4:$D$166="Online")*('Monthly Occurrences (Support)'!$V$4:$V$166))</f>
        <v>0</v>
      </c>
      <c r="R85" s="7">
        <f>SUMPRODUCT(('Monthly Occurrences (Support)'!$C$4:$C$166=$A85)*('Monthly Occurrences (Support)'!$D$4:$D$166="Online")*('Monthly Occurrences (Support)'!$W$4:$W$166))</f>
        <v>0</v>
      </c>
      <c r="S85" s="7">
        <f>SUMPRODUCT(('Monthly Occurrences (Support)'!$C$4:$C$166=$A85)*('Monthly Occurrences (Support)'!$D$4:$D$166="Online")*('Monthly Occurrences (Support)'!$X$4:$X$166))</f>
        <v>0</v>
      </c>
      <c r="T85" s="7">
        <f>SUMPRODUCT(('Monthly Occurrences (Support)'!$C$4:$C$166=$A85)*('Monthly Occurrences (Support)'!$D$4:$D$166="Online")*('Monthly Occurrences (Support)'!$Y$4:$Y$166))</f>
        <v>0</v>
      </c>
      <c r="U85" s="7">
        <f>SUMPRODUCT(('Monthly Occurrences (Support)'!$C$4:$C$166=$A85)*('Monthly Occurrences (Support)'!$D$4:$D$166="Online")*('Monthly Occurrences (Support)'!$Z$4:$Z$166))</f>
        <v>0</v>
      </c>
      <c r="V85" s="7">
        <f>SUMPRODUCT(('Monthly Occurrences (Support)'!$C$4:$C$166=$A85)*('Monthly Occurrences (Support)'!$D$4:$D$166="Online")*('Monthly Occurrences (Support)'!$AA$4:$AA$166))</f>
        <v>0</v>
      </c>
      <c r="W85" s="7">
        <f>SUMPRODUCT(('Monthly Occurrences (Support)'!$C$4:$C$166=$A85)*('Monthly Occurrences (Support)'!$D$4:$D$166="Online")*('Monthly Occurrences (Support)'!$AB$4:$AB$166))</f>
        <v>0</v>
      </c>
    </row>
    <row r="86" spans="1:23" x14ac:dyDescent="0.25">
      <c r="A86" s="15" t="s">
        <v>52</v>
      </c>
      <c r="B86" s="4">
        <f>SUMPRODUCT(('Monthly Occurrences (Support)'!$C$4:$C$166=$A86)*('Monthly Occurrences (Support)'!$D$4:$D$166="Online")*('Monthly Occurrences (Support)'!$G$4:$G$166))</f>
        <v>0</v>
      </c>
      <c r="C86" s="4">
        <f>SUMPRODUCT(('Monthly Occurrences (Support)'!$C$4:$C$166=$A86)*('Monthly Occurrences (Support)'!$D$4:$D$166="Online")*('Monthly Occurrences (Support)'!$H$4:$H$166))</f>
        <v>0</v>
      </c>
      <c r="D86" s="4">
        <f>SUMPRODUCT(('Monthly Occurrences (Support)'!$C$4:$C$166=$A86)*('Monthly Occurrences (Support)'!$D$4:$D$166="Online")*('Monthly Occurrences (Support)'!$I$4:$I$166))</f>
        <v>0</v>
      </c>
      <c r="E86" s="4">
        <f>SUMPRODUCT(('Monthly Occurrences (Support)'!$C$4:$C$166=$A86)*('Monthly Occurrences (Support)'!$D$4:$D$166="Online")*('Monthly Occurrences (Support)'!$J$4:$J$166))</f>
        <v>0</v>
      </c>
      <c r="F86" s="4">
        <f>SUMPRODUCT(('Monthly Occurrences (Support)'!$C$4:$C$166=$A86)*('Monthly Occurrences (Support)'!$D$4:$D$166="Online")*('Monthly Occurrences (Support)'!$K$4:$K$166))</f>
        <v>0</v>
      </c>
      <c r="G86" s="4">
        <f>SUMPRODUCT(('Monthly Occurrences (Support)'!$C$4:$C$166=$A86)*('Monthly Occurrences (Support)'!$D$4:$D$166="Online")*('Monthly Occurrences (Support)'!$L$4:$L$166))</f>
        <v>0</v>
      </c>
      <c r="H86" s="4">
        <f>SUMPRODUCT(('Monthly Occurrences (Support)'!$C$4:$C$166=$A86)*('Monthly Occurrences (Support)'!$D$4:$D$166="Online")*('Monthly Occurrences (Support)'!$M$4:$M$166))</f>
        <v>0</v>
      </c>
      <c r="I86" s="4">
        <f>SUMPRODUCT(('Monthly Occurrences (Support)'!$C$4:$C$166=$A86)*('Monthly Occurrences (Support)'!$D$4:$D$166="Online")*('Monthly Occurrences (Support)'!$N$4:$N$166))</f>
        <v>0</v>
      </c>
      <c r="J86" s="4">
        <f>SUMPRODUCT(('Monthly Occurrences (Support)'!$C$4:$C$166=$A86)*('Monthly Occurrences (Support)'!$D$4:$D$166="Online")*('Monthly Occurrences (Support)'!$O$4:$O$166))</f>
        <v>0</v>
      </c>
      <c r="K86" s="4">
        <f>SUMPRODUCT(('Monthly Occurrences (Support)'!$C$4:$C$166=$A86)*('Monthly Occurrences (Support)'!$D$4:$D$166="Online")*('Monthly Occurrences (Support)'!$P$4:$P$166))</f>
        <v>0</v>
      </c>
      <c r="L86" s="4">
        <f>SUMPRODUCT(('Monthly Occurrences (Support)'!$C$4:$C$166=$A86)*('Monthly Occurrences (Support)'!$D$4:$D$166="Online")*('Monthly Occurrences (Support)'!$Q$4:$Q$166))</f>
        <v>0</v>
      </c>
      <c r="M86" s="4">
        <f>SUMPRODUCT(('Monthly Occurrences (Support)'!$C$4:$C$166=$A86)*('Monthly Occurrences (Support)'!$D$4:$D$166="Online")*('Monthly Occurrences (Support)'!$R$4:$R$166))</f>
        <v>0</v>
      </c>
      <c r="N86" s="4">
        <f>SUMPRODUCT(('Monthly Occurrences (Support)'!$C$4:$C$166=$A86)*('Monthly Occurrences (Support)'!$D$4:$D$166="Online")*('Monthly Occurrences (Support)'!$S$4:$S$166))</f>
        <v>0</v>
      </c>
      <c r="O86" s="4">
        <f>SUMPRODUCT(('Monthly Occurrences (Support)'!$C$4:$C$166=$A86)*('Monthly Occurrences (Support)'!$D$4:$D$166="Online")*('Monthly Occurrences (Support)'!$T$4:$T$166))</f>
        <v>0</v>
      </c>
      <c r="P86" s="4">
        <f>SUMPRODUCT(('Monthly Occurrences (Support)'!$C$4:$C$166=$A86)*('Monthly Occurrences (Support)'!$D$4:$D$166="Online")*('Monthly Occurrences (Support)'!$U$4:$U$166))</f>
        <v>0</v>
      </c>
      <c r="Q86" s="4">
        <f>SUMPRODUCT(('Monthly Occurrences (Support)'!$C$4:$C$166=$A86)*('Monthly Occurrences (Support)'!$D$4:$D$166="Online")*('Monthly Occurrences (Support)'!$V$4:$V$166))</f>
        <v>0</v>
      </c>
      <c r="R86" s="4">
        <f>SUMPRODUCT(('Monthly Occurrences (Support)'!$C$4:$C$166=$A86)*('Monthly Occurrences (Support)'!$D$4:$D$166="Online")*('Monthly Occurrences (Support)'!$W$4:$W$166))</f>
        <v>0</v>
      </c>
      <c r="S86" s="4">
        <f>SUMPRODUCT(('Monthly Occurrences (Support)'!$C$4:$C$166=$A86)*('Monthly Occurrences (Support)'!$D$4:$D$166="Online")*('Monthly Occurrences (Support)'!$X$4:$X$166))</f>
        <v>0</v>
      </c>
      <c r="T86" s="4">
        <f>SUMPRODUCT(('Monthly Occurrences (Support)'!$C$4:$C$166=$A86)*('Monthly Occurrences (Support)'!$D$4:$D$166="Online")*('Monthly Occurrences (Support)'!$Y$4:$Y$166))</f>
        <v>0</v>
      </c>
      <c r="U86" s="4">
        <f>SUMPRODUCT(('Monthly Occurrences (Support)'!$C$4:$C$166=$A86)*('Monthly Occurrences (Support)'!$D$4:$D$166="Online")*('Monthly Occurrences (Support)'!$Z$4:$Z$166))</f>
        <v>0</v>
      </c>
      <c r="V86" s="4">
        <f>SUMPRODUCT(('Monthly Occurrences (Support)'!$C$4:$C$166=$A86)*('Monthly Occurrences (Support)'!$D$4:$D$166="Online")*('Monthly Occurrences (Support)'!$AA$4:$AA$166))</f>
        <v>0</v>
      </c>
      <c r="W86" s="4">
        <f>SUMPRODUCT(('Monthly Occurrences (Support)'!$C$4:$C$166=$A86)*('Monthly Occurrences (Support)'!$D$4:$D$166="Online")*('Monthly Occurrences (Support)'!$AB$4:$AB$166))</f>
        <v>0</v>
      </c>
    </row>
    <row r="87" spans="1:23" x14ac:dyDescent="0.25">
      <c r="A87" s="16" t="s">
        <v>53</v>
      </c>
      <c r="B87" s="7">
        <f>SUMPRODUCT(('Monthly Occurrences (Support)'!$C$4:$C$166=$A87)*('Monthly Occurrences (Support)'!$D$4:$D$166="Online")*('Monthly Occurrences (Support)'!$G$4:$G$166))</f>
        <v>0</v>
      </c>
      <c r="C87" s="7">
        <f>SUMPRODUCT(('Monthly Occurrences (Support)'!$C$4:$C$166=$A87)*('Monthly Occurrences (Support)'!$D$4:$D$166="Online")*('Monthly Occurrences (Support)'!$H$4:$H$166))</f>
        <v>0</v>
      </c>
      <c r="D87" s="7">
        <f>SUMPRODUCT(('Monthly Occurrences (Support)'!$C$4:$C$166=$A87)*('Monthly Occurrences (Support)'!$D$4:$D$166="Online")*('Monthly Occurrences (Support)'!$I$4:$I$166))</f>
        <v>0</v>
      </c>
      <c r="E87" s="7">
        <f>SUMPRODUCT(('Monthly Occurrences (Support)'!$C$4:$C$166=$A87)*('Monthly Occurrences (Support)'!$D$4:$D$166="Online")*('Monthly Occurrences (Support)'!$J$4:$J$166))</f>
        <v>0</v>
      </c>
      <c r="F87" s="7">
        <f>SUMPRODUCT(('Monthly Occurrences (Support)'!$C$4:$C$166=$A87)*('Monthly Occurrences (Support)'!$D$4:$D$166="Online")*('Monthly Occurrences (Support)'!$K$4:$K$166))</f>
        <v>0</v>
      </c>
      <c r="G87" s="7">
        <f>SUMPRODUCT(('Monthly Occurrences (Support)'!$C$4:$C$166=$A87)*('Monthly Occurrences (Support)'!$D$4:$D$166="Online")*('Monthly Occurrences (Support)'!$L$4:$L$166))</f>
        <v>0</v>
      </c>
      <c r="H87" s="7">
        <f>SUMPRODUCT(('Monthly Occurrences (Support)'!$C$4:$C$166=$A87)*('Monthly Occurrences (Support)'!$D$4:$D$166="Online")*('Monthly Occurrences (Support)'!$M$4:$M$166))</f>
        <v>0</v>
      </c>
      <c r="I87" s="7">
        <f>SUMPRODUCT(('Monthly Occurrences (Support)'!$C$4:$C$166=$A87)*('Monthly Occurrences (Support)'!$D$4:$D$166="Online")*('Monthly Occurrences (Support)'!$N$4:$N$166))</f>
        <v>0</v>
      </c>
      <c r="J87" s="7">
        <f>SUMPRODUCT(('Monthly Occurrences (Support)'!$C$4:$C$166=$A87)*('Monthly Occurrences (Support)'!$D$4:$D$166="Online")*('Monthly Occurrences (Support)'!$O$4:$O$166))</f>
        <v>0</v>
      </c>
      <c r="K87" s="7">
        <f>SUMPRODUCT(('Monthly Occurrences (Support)'!$C$4:$C$166=$A87)*('Monthly Occurrences (Support)'!$D$4:$D$166="Online")*('Monthly Occurrences (Support)'!$P$4:$P$166))</f>
        <v>0</v>
      </c>
      <c r="L87" s="7">
        <f>SUMPRODUCT(('Monthly Occurrences (Support)'!$C$4:$C$166=$A87)*('Monthly Occurrences (Support)'!$D$4:$D$166="Online")*('Monthly Occurrences (Support)'!$Q$4:$Q$166))</f>
        <v>0</v>
      </c>
      <c r="M87" s="7">
        <f>SUMPRODUCT(('Monthly Occurrences (Support)'!$C$4:$C$166=$A87)*('Monthly Occurrences (Support)'!$D$4:$D$166="Online")*('Monthly Occurrences (Support)'!$R$4:$R$166))</f>
        <v>0</v>
      </c>
      <c r="N87" s="7">
        <f>SUMPRODUCT(('Monthly Occurrences (Support)'!$C$4:$C$166=$A87)*('Monthly Occurrences (Support)'!$D$4:$D$166="Online")*('Monthly Occurrences (Support)'!$S$4:$S$166))</f>
        <v>0</v>
      </c>
      <c r="O87" s="7">
        <f>SUMPRODUCT(('Monthly Occurrences (Support)'!$C$4:$C$166=$A87)*('Monthly Occurrences (Support)'!$D$4:$D$166="Online")*('Monthly Occurrences (Support)'!$T$4:$T$166))</f>
        <v>0</v>
      </c>
      <c r="P87" s="7">
        <f>SUMPRODUCT(('Monthly Occurrences (Support)'!$C$4:$C$166=$A87)*('Monthly Occurrences (Support)'!$D$4:$D$166="Online")*('Monthly Occurrences (Support)'!$U$4:$U$166))</f>
        <v>0</v>
      </c>
      <c r="Q87" s="7">
        <f>SUMPRODUCT(('Monthly Occurrences (Support)'!$C$4:$C$166=$A87)*('Monthly Occurrences (Support)'!$D$4:$D$166="Online")*('Monthly Occurrences (Support)'!$V$4:$V$166))</f>
        <v>0</v>
      </c>
      <c r="R87" s="7">
        <f>SUMPRODUCT(('Monthly Occurrences (Support)'!$C$4:$C$166=$A87)*('Monthly Occurrences (Support)'!$D$4:$D$166="Online")*('Monthly Occurrences (Support)'!$W$4:$W$166))</f>
        <v>0</v>
      </c>
      <c r="S87" s="7">
        <f>SUMPRODUCT(('Monthly Occurrences (Support)'!$C$4:$C$166=$A87)*('Monthly Occurrences (Support)'!$D$4:$D$166="Online")*('Monthly Occurrences (Support)'!$X$4:$X$166))</f>
        <v>0</v>
      </c>
      <c r="T87" s="7">
        <f>SUMPRODUCT(('Monthly Occurrences (Support)'!$C$4:$C$166=$A87)*('Monthly Occurrences (Support)'!$D$4:$D$166="Online")*('Monthly Occurrences (Support)'!$Y$4:$Y$166))</f>
        <v>0</v>
      </c>
      <c r="U87" s="7">
        <f>SUMPRODUCT(('Monthly Occurrences (Support)'!$C$4:$C$166=$A87)*('Monthly Occurrences (Support)'!$D$4:$D$166="Online")*('Monthly Occurrences (Support)'!$Z$4:$Z$166))</f>
        <v>0</v>
      </c>
      <c r="V87" s="7">
        <f>SUMPRODUCT(('Monthly Occurrences (Support)'!$C$4:$C$166=$A87)*('Monthly Occurrences (Support)'!$D$4:$D$166="Online")*('Monthly Occurrences (Support)'!$AA$4:$AA$166))</f>
        <v>0</v>
      </c>
      <c r="W87" s="7">
        <f>SUMPRODUCT(('Monthly Occurrences (Support)'!$C$4:$C$166=$A87)*('Monthly Occurrences (Support)'!$D$4:$D$166="Online")*('Monthly Occurrences (Support)'!$AB$4:$AB$166))</f>
        <v>0</v>
      </c>
    </row>
    <row r="88" spans="1:23" x14ac:dyDescent="0.25">
      <c r="A88" s="15" t="s">
        <v>54</v>
      </c>
      <c r="B88" s="4">
        <f>SUMPRODUCT(('Monthly Occurrences (Support)'!$C$4:$C$166=$A88)*('Monthly Occurrences (Support)'!$D$4:$D$166="Online")*('Monthly Occurrences (Support)'!$G$4:$G$166))</f>
        <v>0</v>
      </c>
      <c r="C88" s="4">
        <f>SUMPRODUCT(('Monthly Occurrences (Support)'!$C$4:$C$166=$A88)*('Monthly Occurrences (Support)'!$D$4:$D$166="Online")*('Monthly Occurrences (Support)'!$H$4:$H$166))</f>
        <v>0</v>
      </c>
      <c r="D88" s="4">
        <f>SUMPRODUCT(('Monthly Occurrences (Support)'!$C$4:$C$166=$A88)*('Monthly Occurrences (Support)'!$D$4:$D$166="Online")*('Monthly Occurrences (Support)'!$I$4:$I$166))</f>
        <v>0</v>
      </c>
      <c r="E88" s="4">
        <f>SUMPRODUCT(('Monthly Occurrences (Support)'!$C$4:$C$166=$A88)*('Monthly Occurrences (Support)'!$D$4:$D$166="Online")*('Monthly Occurrences (Support)'!$J$4:$J$166))</f>
        <v>0</v>
      </c>
      <c r="F88" s="4">
        <f>SUMPRODUCT(('Monthly Occurrences (Support)'!$C$4:$C$166=$A88)*('Monthly Occurrences (Support)'!$D$4:$D$166="Online")*('Monthly Occurrences (Support)'!$K$4:$K$166))</f>
        <v>0</v>
      </c>
      <c r="G88" s="4">
        <f>SUMPRODUCT(('Monthly Occurrences (Support)'!$C$4:$C$166=$A88)*('Monthly Occurrences (Support)'!$D$4:$D$166="Online")*('Monthly Occurrences (Support)'!$L$4:$L$166))</f>
        <v>0</v>
      </c>
      <c r="H88" s="4">
        <f>SUMPRODUCT(('Monthly Occurrences (Support)'!$C$4:$C$166=$A88)*('Monthly Occurrences (Support)'!$D$4:$D$166="Online")*('Monthly Occurrences (Support)'!$M$4:$M$166))</f>
        <v>0</v>
      </c>
      <c r="I88" s="4">
        <f>SUMPRODUCT(('Monthly Occurrences (Support)'!$C$4:$C$166=$A88)*('Monthly Occurrences (Support)'!$D$4:$D$166="Online")*('Monthly Occurrences (Support)'!$N$4:$N$166))</f>
        <v>0</v>
      </c>
      <c r="J88" s="4">
        <f>SUMPRODUCT(('Monthly Occurrences (Support)'!$C$4:$C$166=$A88)*('Monthly Occurrences (Support)'!$D$4:$D$166="Online")*('Monthly Occurrences (Support)'!$O$4:$O$166))</f>
        <v>0</v>
      </c>
      <c r="K88" s="4">
        <f>SUMPRODUCT(('Monthly Occurrences (Support)'!$C$4:$C$166=$A88)*('Monthly Occurrences (Support)'!$D$4:$D$166="Online")*('Monthly Occurrences (Support)'!$P$4:$P$166))</f>
        <v>0</v>
      </c>
      <c r="L88" s="4">
        <f>SUMPRODUCT(('Monthly Occurrences (Support)'!$C$4:$C$166=$A88)*('Monthly Occurrences (Support)'!$D$4:$D$166="Online")*('Monthly Occurrences (Support)'!$Q$4:$Q$166))</f>
        <v>0</v>
      </c>
      <c r="M88" s="4">
        <f>SUMPRODUCT(('Monthly Occurrences (Support)'!$C$4:$C$166=$A88)*('Monthly Occurrences (Support)'!$D$4:$D$166="Online")*('Monthly Occurrences (Support)'!$R$4:$R$166))</f>
        <v>0</v>
      </c>
      <c r="N88" s="4">
        <f>SUMPRODUCT(('Monthly Occurrences (Support)'!$C$4:$C$166=$A88)*('Monthly Occurrences (Support)'!$D$4:$D$166="Online")*('Monthly Occurrences (Support)'!$S$4:$S$166))</f>
        <v>0</v>
      </c>
      <c r="O88" s="4">
        <f>SUMPRODUCT(('Monthly Occurrences (Support)'!$C$4:$C$166=$A88)*('Monthly Occurrences (Support)'!$D$4:$D$166="Online")*('Monthly Occurrences (Support)'!$T$4:$T$166))</f>
        <v>0</v>
      </c>
      <c r="P88" s="4">
        <f>SUMPRODUCT(('Monthly Occurrences (Support)'!$C$4:$C$166=$A88)*('Monthly Occurrences (Support)'!$D$4:$D$166="Online")*('Monthly Occurrences (Support)'!$U$4:$U$166))</f>
        <v>0</v>
      </c>
      <c r="Q88" s="4">
        <f>SUMPRODUCT(('Monthly Occurrences (Support)'!$C$4:$C$166=$A88)*('Monthly Occurrences (Support)'!$D$4:$D$166="Online")*('Monthly Occurrences (Support)'!$V$4:$V$166))</f>
        <v>0</v>
      </c>
      <c r="R88" s="4">
        <f>SUMPRODUCT(('Monthly Occurrences (Support)'!$C$4:$C$166=$A88)*('Monthly Occurrences (Support)'!$D$4:$D$166="Online")*('Monthly Occurrences (Support)'!$W$4:$W$166))</f>
        <v>0</v>
      </c>
      <c r="S88" s="4">
        <f>SUMPRODUCT(('Monthly Occurrences (Support)'!$C$4:$C$166=$A88)*('Monthly Occurrences (Support)'!$D$4:$D$166="Online")*('Monthly Occurrences (Support)'!$X$4:$X$166))</f>
        <v>0</v>
      </c>
      <c r="T88" s="4">
        <f>SUMPRODUCT(('Monthly Occurrences (Support)'!$C$4:$C$166=$A88)*('Monthly Occurrences (Support)'!$D$4:$D$166="Online")*('Monthly Occurrences (Support)'!$Y$4:$Y$166))</f>
        <v>0</v>
      </c>
      <c r="U88" s="4">
        <f>SUMPRODUCT(('Monthly Occurrences (Support)'!$C$4:$C$166=$A88)*('Monthly Occurrences (Support)'!$D$4:$D$166="Online")*('Monthly Occurrences (Support)'!$Z$4:$Z$166))</f>
        <v>0</v>
      </c>
      <c r="V88" s="4">
        <f>SUMPRODUCT(('Monthly Occurrences (Support)'!$C$4:$C$166=$A88)*('Monthly Occurrences (Support)'!$D$4:$D$166="Online")*('Monthly Occurrences (Support)'!$AA$4:$AA$166))</f>
        <v>0</v>
      </c>
      <c r="W88" s="4">
        <f>SUMPRODUCT(('Monthly Occurrences (Support)'!$C$4:$C$166=$A88)*('Monthly Occurrences (Support)'!$D$4:$D$166="Online")*('Monthly Occurrences (Support)'!$AB$4:$AB$166))</f>
        <v>0</v>
      </c>
    </row>
    <row r="89" spans="1:23" x14ac:dyDescent="0.25">
      <c r="A89" s="16" t="s">
        <v>55</v>
      </c>
      <c r="B89" s="7">
        <f>SUMPRODUCT(('Monthly Occurrences (Support)'!$C$4:$C$166=$A89)*('Monthly Occurrences (Support)'!$D$4:$D$166="Online")*('Monthly Occurrences (Support)'!$G$4:$G$166))</f>
        <v>0</v>
      </c>
      <c r="C89" s="7">
        <f>SUMPRODUCT(('Monthly Occurrences (Support)'!$C$4:$C$166=$A89)*('Monthly Occurrences (Support)'!$D$4:$D$166="Online")*('Monthly Occurrences (Support)'!$H$4:$H$166))</f>
        <v>0</v>
      </c>
      <c r="D89" s="7">
        <f>SUMPRODUCT(('Monthly Occurrences (Support)'!$C$4:$C$166=$A89)*('Monthly Occurrences (Support)'!$D$4:$D$166="Online")*('Monthly Occurrences (Support)'!$I$4:$I$166))</f>
        <v>0</v>
      </c>
      <c r="E89" s="7">
        <f>SUMPRODUCT(('Monthly Occurrences (Support)'!$C$4:$C$166=$A89)*('Monthly Occurrences (Support)'!$D$4:$D$166="Online")*('Monthly Occurrences (Support)'!$J$4:$J$166))</f>
        <v>0</v>
      </c>
      <c r="F89" s="7">
        <f>SUMPRODUCT(('Monthly Occurrences (Support)'!$C$4:$C$166=$A89)*('Monthly Occurrences (Support)'!$D$4:$D$166="Online")*('Monthly Occurrences (Support)'!$K$4:$K$166))</f>
        <v>0</v>
      </c>
      <c r="G89" s="7">
        <f>SUMPRODUCT(('Monthly Occurrences (Support)'!$C$4:$C$166=$A89)*('Monthly Occurrences (Support)'!$D$4:$D$166="Online")*('Monthly Occurrences (Support)'!$L$4:$L$166))</f>
        <v>0</v>
      </c>
      <c r="H89" s="7">
        <f>SUMPRODUCT(('Monthly Occurrences (Support)'!$C$4:$C$166=$A89)*('Monthly Occurrences (Support)'!$D$4:$D$166="Online")*('Monthly Occurrences (Support)'!$M$4:$M$166))</f>
        <v>0</v>
      </c>
      <c r="I89" s="7">
        <f>SUMPRODUCT(('Monthly Occurrences (Support)'!$C$4:$C$166=$A89)*('Monthly Occurrences (Support)'!$D$4:$D$166="Online")*('Monthly Occurrences (Support)'!$N$4:$N$166))</f>
        <v>0</v>
      </c>
      <c r="J89" s="7">
        <f>SUMPRODUCT(('Monthly Occurrences (Support)'!$C$4:$C$166=$A89)*('Monthly Occurrences (Support)'!$D$4:$D$166="Online")*('Monthly Occurrences (Support)'!$O$4:$O$166))</f>
        <v>3</v>
      </c>
      <c r="K89" s="7">
        <f>SUMPRODUCT(('Monthly Occurrences (Support)'!$C$4:$C$166=$A89)*('Monthly Occurrences (Support)'!$D$4:$D$166="Online")*('Monthly Occurrences (Support)'!$P$4:$P$166))</f>
        <v>5</v>
      </c>
      <c r="L89" s="7">
        <f>SUMPRODUCT(('Monthly Occurrences (Support)'!$C$4:$C$166=$A89)*('Monthly Occurrences (Support)'!$D$4:$D$166="Online")*('Monthly Occurrences (Support)'!$Q$4:$Q$166))</f>
        <v>4</v>
      </c>
      <c r="M89" s="7">
        <f>SUMPRODUCT(('Monthly Occurrences (Support)'!$C$4:$C$166=$A89)*('Monthly Occurrences (Support)'!$D$4:$D$166="Online")*('Monthly Occurrences (Support)'!$R$4:$R$166))</f>
        <v>5</v>
      </c>
      <c r="N89" s="7">
        <f>SUMPRODUCT(('Monthly Occurrences (Support)'!$C$4:$C$166=$A89)*('Monthly Occurrences (Support)'!$D$4:$D$166="Online")*('Monthly Occurrences (Support)'!$S$4:$S$166))</f>
        <v>0</v>
      </c>
      <c r="O89" s="7">
        <f>SUMPRODUCT(('Monthly Occurrences (Support)'!$C$4:$C$166=$A89)*('Monthly Occurrences (Support)'!$D$4:$D$166="Online")*('Monthly Occurrences (Support)'!$T$4:$T$166))</f>
        <v>0</v>
      </c>
      <c r="P89" s="7">
        <f>SUMPRODUCT(('Monthly Occurrences (Support)'!$C$4:$C$166=$A89)*('Monthly Occurrences (Support)'!$D$4:$D$166="Online")*('Monthly Occurrences (Support)'!$U$4:$U$166))</f>
        <v>0</v>
      </c>
      <c r="Q89" s="7">
        <f>SUMPRODUCT(('Monthly Occurrences (Support)'!$C$4:$C$166=$A89)*('Monthly Occurrences (Support)'!$D$4:$D$166="Online")*('Monthly Occurrences (Support)'!$V$4:$V$166))</f>
        <v>0</v>
      </c>
      <c r="R89" s="7">
        <f>SUMPRODUCT(('Monthly Occurrences (Support)'!$C$4:$C$166=$A89)*('Monthly Occurrences (Support)'!$D$4:$D$166="Online")*('Monthly Occurrences (Support)'!$W$4:$W$166))</f>
        <v>0</v>
      </c>
      <c r="S89" s="7">
        <f>SUMPRODUCT(('Monthly Occurrences (Support)'!$C$4:$C$166=$A89)*('Monthly Occurrences (Support)'!$D$4:$D$166="Online")*('Monthly Occurrences (Support)'!$X$4:$X$166))</f>
        <v>0</v>
      </c>
      <c r="T89" s="7">
        <f>SUMPRODUCT(('Monthly Occurrences (Support)'!$C$4:$C$166=$A89)*('Monthly Occurrences (Support)'!$D$4:$D$166="Online")*('Monthly Occurrences (Support)'!$Y$4:$Y$166))</f>
        <v>0</v>
      </c>
      <c r="U89" s="7">
        <f>SUMPRODUCT(('Monthly Occurrences (Support)'!$C$4:$C$166=$A89)*('Monthly Occurrences (Support)'!$D$4:$D$166="Online")*('Monthly Occurrences (Support)'!$Z$4:$Z$166))</f>
        <v>0</v>
      </c>
      <c r="V89" s="7">
        <f>SUMPRODUCT(('Monthly Occurrences (Support)'!$C$4:$C$166=$A89)*('Monthly Occurrences (Support)'!$D$4:$D$166="Online")*('Monthly Occurrences (Support)'!$AA$4:$AA$166))</f>
        <v>0</v>
      </c>
      <c r="W89" s="7">
        <f>SUMPRODUCT(('Monthly Occurrences (Support)'!$C$4:$C$166=$A89)*('Monthly Occurrences (Support)'!$D$4:$D$166="Online")*('Monthly Occurrences (Support)'!$AB$4:$AB$166))</f>
        <v>0</v>
      </c>
    </row>
    <row r="90" spans="1:23" x14ac:dyDescent="0.25">
      <c r="A90" s="15" t="s">
        <v>56</v>
      </c>
      <c r="B90" s="4">
        <f>SUMPRODUCT(('Monthly Occurrences (Support)'!$C$4:$C$166=$A90)*('Monthly Occurrences (Support)'!$D$4:$D$166="Online")*('Monthly Occurrences (Support)'!$G$4:$G$166))</f>
        <v>0</v>
      </c>
      <c r="C90" s="4">
        <f>SUMPRODUCT(('Monthly Occurrences (Support)'!$C$4:$C$166=$A90)*('Monthly Occurrences (Support)'!$D$4:$D$166="Online")*('Monthly Occurrences (Support)'!$H$4:$H$166))</f>
        <v>0</v>
      </c>
      <c r="D90" s="4">
        <f>SUMPRODUCT(('Monthly Occurrences (Support)'!$C$4:$C$166=$A90)*('Monthly Occurrences (Support)'!$D$4:$D$166="Online")*('Monthly Occurrences (Support)'!$I$4:$I$166))</f>
        <v>0</v>
      </c>
      <c r="E90" s="4">
        <f>SUMPRODUCT(('Monthly Occurrences (Support)'!$C$4:$C$166=$A90)*('Monthly Occurrences (Support)'!$D$4:$D$166="Online")*('Monthly Occurrences (Support)'!$J$4:$J$166))</f>
        <v>0</v>
      </c>
      <c r="F90" s="4">
        <f>SUMPRODUCT(('Monthly Occurrences (Support)'!$C$4:$C$166=$A90)*('Monthly Occurrences (Support)'!$D$4:$D$166="Online")*('Monthly Occurrences (Support)'!$K$4:$K$166))</f>
        <v>0</v>
      </c>
      <c r="G90" s="4">
        <f>SUMPRODUCT(('Monthly Occurrences (Support)'!$C$4:$C$166=$A90)*('Monthly Occurrences (Support)'!$D$4:$D$166="Online")*('Monthly Occurrences (Support)'!$L$4:$L$166))</f>
        <v>0</v>
      </c>
      <c r="H90" s="4">
        <f>SUMPRODUCT(('Monthly Occurrences (Support)'!$C$4:$C$166=$A90)*('Monthly Occurrences (Support)'!$D$4:$D$166="Online")*('Monthly Occurrences (Support)'!$M$4:$M$166))</f>
        <v>0</v>
      </c>
      <c r="I90" s="4">
        <f>SUMPRODUCT(('Monthly Occurrences (Support)'!$C$4:$C$166=$A90)*('Monthly Occurrences (Support)'!$D$4:$D$166="Online")*('Monthly Occurrences (Support)'!$N$4:$N$166))</f>
        <v>0</v>
      </c>
      <c r="J90" s="4">
        <f>SUMPRODUCT(('Monthly Occurrences (Support)'!$C$4:$C$166=$A90)*('Monthly Occurrences (Support)'!$D$4:$D$166="Online")*('Monthly Occurrences (Support)'!$O$4:$O$166))</f>
        <v>0</v>
      </c>
      <c r="K90" s="4">
        <f>SUMPRODUCT(('Monthly Occurrences (Support)'!$C$4:$C$166=$A90)*('Monthly Occurrences (Support)'!$D$4:$D$166="Online")*('Monthly Occurrences (Support)'!$P$4:$P$166))</f>
        <v>0</v>
      </c>
      <c r="L90" s="4">
        <f>SUMPRODUCT(('Monthly Occurrences (Support)'!$C$4:$C$166=$A90)*('Monthly Occurrences (Support)'!$D$4:$D$166="Online")*('Monthly Occurrences (Support)'!$Q$4:$Q$166))</f>
        <v>0</v>
      </c>
      <c r="M90" s="4">
        <f>SUMPRODUCT(('Monthly Occurrences (Support)'!$C$4:$C$166=$A90)*('Monthly Occurrences (Support)'!$D$4:$D$166="Online")*('Monthly Occurrences (Support)'!$R$4:$R$166))</f>
        <v>0</v>
      </c>
      <c r="N90" s="4">
        <f>SUMPRODUCT(('Monthly Occurrences (Support)'!$C$4:$C$166=$A90)*('Monthly Occurrences (Support)'!$D$4:$D$166="Online")*('Monthly Occurrences (Support)'!$S$4:$S$166))</f>
        <v>0</v>
      </c>
      <c r="O90" s="4">
        <f>SUMPRODUCT(('Monthly Occurrences (Support)'!$C$4:$C$166=$A90)*('Monthly Occurrences (Support)'!$D$4:$D$166="Online")*('Monthly Occurrences (Support)'!$T$4:$T$166))</f>
        <v>0</v>
      </c>
      <c r="P90" s="4">
        <f>SUMPRODUCT(('Monthly Occurrences (Support)'!$C$4:$C$166=$A90)*('Monthly Occurrences (Support)'!$D$4:$D$166="Online")*('Monthly Occurrences (Support)'!$U$4:$U$166))</f>
        <v>0</v>
      </c>
      <c r="Q90" s="4">
        <f>SUMPRODUCT(('Monthly Occurrences (Support)'!$C$4:$C$166=$A90)*('Monthly Occurrences (Support)'!$D$4:$D$166="Online")*('Monthly Occurrences (Support)'!$V$4:$V$166))</f>
        <v>0</v>
      </c>
      <c r="R90" s="4">
        <f>SUMPRODUCT(('Monthly Occurrences (Support)'!$C$4:$C$166=$A90)*('Monthly Occurrences (Support)'!$D$4:$D$166="Online")*('Monthly Occurrences (Support)'!$W$4:$W$166))</f>
        <v>0</v>
      </c>
      <c r="S90" s="4">
        <f>SUMPRODUCT(('Monthly Occurrences (Support)'!$C$4:$C$166=$A90)*('Monthly Occurrences (Support)'!$D$4:$D$166="Online")*('Monthly Occurrences (Support)'!$X$4:$X$166))</f>
        <v>0</v>
      </c>
      <c r="T90" s="4">
        <f>SUMPRODUCT(('Monthly Occurrences (Support)'!$C$4:$C$166=$A90)*('Monthly Occurrences (Support)'!$D$4:$D$166="Online")*('Monthly Occurrences (Support)'!$Y$4:$Y$166))</f>
        <v>0</v>
      </c>
      <c r="U90" s="4">
        <f>SUMPRODUCT(('Monthly Occurrences (Support)'!$C$4:$C$166=$A90)*('Monthly Occurrences (Support)'!$D$4:$D$166="Online")*('Monthly Occurrences (Support)'!$Z$4:$Z$166))</f>
        <v>0</v>
      </c>
      <c r="V90" s="4">
        <f>SUMPRODUCT(('Monthly Occurrences (Support)'!$C$4:$C$166=$A90)*('Monthly Occurrences (Support)'!$D$4:$D$166="Online")*('Monthly Occurrences (Support)'!$AA$4:$AA$166))</f>
        <v>0</v>
      </c>
      <c r="W90" s="4">
        <f>SUMPRODUCT(('Monthly Occurrences (Support)'!$C$4:$C$166=$A90)*('Monthly Occurrences (Support)'!$D$4:$D$166="Online")*('Monthly Occurrences (Support)'!$AB$4:$AB$166))</f>
        <v>0</v>
      </c>
    </row>
    <row r="91" spans="1:23" x14ac:dyDescent="0.25">
      <c r="A91" s="16" t="s">
        <v>57</v>
      </c>
      <c r="B91" s="7">
        <f>SUMPRODUCT(('Monthly Occurrences (Support)'!$C$4:$C$166=$A91)*('Monthly Occurrences (Support)'!$D$4:$D$166="Online")*('Monthly Occurrences (Support)'!$G$4:$G$166))</f>
        <v>0</v>
      </c>
      <c r="C91" s="7">
        <f>SUMPRODUCT(('Monthly Occurrences (Support)'!$C$4:$C$166=$A91)*('Monthly Occurrences (Support)'!$D$4:$D$166="Online")*('Monthly Occurrences (Support)'!$H$4:$H$166))</f>
        <v>0</v>
      </c>
      <c r="D91" s="7">
        <f>SUMPRODUCT(('Monthly Occurrences (Support)'!$C$4:$C$166=$A91)*('Monthly Occurrences (Support)'!$D$4:$D$166="Online")*('Monthly Occurrences (Support)'!$I$4:$I$166))</f>
        <v>0</v>
      </c>
      <c r="E91" s="7">
        <f>SUMPRODUCT(('Monthly Occurrences (Support)'!$C$4:$C$166=$A91)*('Monthly Occurrences (Support)'!$D$4:$D$166="Online")*('Monthly Occurrences (Support)'!$J$4:$J$166))</f>
        <v>0</v>
      </c>
      <c r="F91" s="7">
        <f>SUMPRODUCT(('Monthly Occurrences (Support)'!$C$4:$C$166=$A91)*('Monthly Occurrences (Support)'!$D$4:$D$166="Online")*('Monthly Occurrences (Support)'!$K$4:$K$166))</f>
        <v>0</v>
      </c>
      <c r="G91" s="7">
        <f>SUMPRODUCT(('Monthly Occurrences (Support)'!$C$4:$C$166=$A91)*('Monthly Occurrences (Support)'!$D$4:$D$166="Online")*('Monthly Occurrences (Support)'!$L$4:$L$166))</f>
        <v>0</v>
      </c>
      <c r="H91" s="7">
        <f>SUMPRODUCT(('Monthly Occurrences (Support)'!$C$4:$C$166=$A91)*('Monthly Occurrences (Support)'!$D$4:$D$166="Online")*('Monthly Occurrences (Support)'!$M$4:$M$166))</f>
        <v>0</v>
      </c>
      <c r="I91" s="7">
        <f>SUMPRODUCT(('Monthly Occurrences (Support)'!$C$4:$C$166=$A91)*('Monthly Occurrences (Support)'!$D$4:$D$166="Online")*('Monthly Occurrences (Support)'!$N$4:$N$166))</f>
        <v>0</v>
      </c>
      <c r="J91" s="7">
        <f>SUMPRODUCT(('Monthly Occurrences (Support)'!$C$4:$C$166=$A91)*('Monthly Occurrences (Support)'!$D$4:$D$166="Online")*('Monthly Occurrences (Support)'!$O$4:$O$166))</f>
        <v>0</v>
      </c>
      <c r="K91" s="7">
        <f>SUMPRODUCT(('Monthly Occurrences (Support)'!$C$4:$C$166=$A91)*('Monthly Occurrences (Support)'!$D$4:$D$166="Online")*('Monthly Occurrences (Support)'!$P$4:$P$166))</f>
        <v>0</v>
      </c>
      <c r="L91" s="7">
        <f>SUMPRODUCT(('Monthly Occurrences (Support)'!$C$4:$C$166=$A91)*('Monthly Occurrences (Support)'!$D$4:$D$166="Online")*('Monthly Occurrences (Support)'!$Q$4:$Q$166))</f>
        <v>0</v>
      </c>
      <c r="M91" s="7">
        <f>SUMPRODUCT(('Monthly Occurrences (Support)'!$C$4:$C$166=$A91)*('Monthly Occurrences (Support)'!$D$4:$D$166="Online")*('Monthly Occurrences (Support)'!$R$4:$R$166))</f>
        <v>0</v>
      </c>
      <c r="N91" s="7">
        <f>SUMPRODUCT(('Monthly Occurrences (Support)'!$C$4:$C$166=$A91)*('Monthly Occurrences (Support)'!$D$4:$D$166="Online")*('Monthly Occurrences (Support)'!$S$4:$S$166))</f>
        <v>0</v>
      </c>
      <c r="O91" s="7">
        <f>SUMPRODUCT(('Monthly Occurrences (Support)'!$C$4:$C$166=$A91)*('Monthly Occurrences (Support)'!$D$4:$D$166="Online")*('Monthly Occurrences (Support)'!$T$4:$T$166))</f>
        <v>0</v>
      </c>
      <c r="P91" s="7">
        <f>SUMPRODUCT(('Monthly Occurrences (Support)'!$C$4:$C$166=$A91)*('Monthly Occurrences (Support)'!$D$4:$D$166="Online")*('Monthly Occurrences (Support)'!$U$4:$U$166))</f>
        <v>0</v>
      </c>
      <c r="Q91" s="7">
        <f>SUMPRODUCT(('Monthly Occurrences (Support)'!$C$4:$C$166=$A91)*('Monthly Occurrences (Support)'!$D$4:$D$166="Online")*('Monthly Occurrences (Support)'!$V$4:$V$166))</f>
        <v>0</v>
      </c>
      <c r="R91" s="7">
        <f>SUMPRODUCT(('Monthly Occurrences (Support)'!$C$4:$C$166=$A91)*('Monthly Occurrences (Support)'!$D$4:$D$166="Online")*('Monthly Occurrences (Support)'!$W$4:$W$166))</f>
        <v>0</v>
      </c>
      <c r="S91" s="7">
        <f>SUMPRODUCT(('Monthly Occurrences (Support)'!$C$4:$C$166=$A91)*('Monthly Occurrences (Support)'!$D$4:$D$166="Online")*('Monthly Occurrences (Support)'!$X$4:$X$166))</f>
        <v>0</v>
      </c>
      <c r="T91" s="7">
        <f>SUMPRODUCT(('Monthly Occurrences (Support)'!$C$4:$C$166=$A91)*('Monthly Occurrences (Support)'!$D$4:$D$166="Online")*('Monthly Occurrences (Support)'!$Y$4:$Y$166))</f>
        <v>0</v>
      </c>
      <c r="U91" s="7">
        <f>SUMPRODUCT(('Monthly Occurrences (Support)'!$C$4:$C$166=$A91)*('Monthly Occurrences (Support)'!$D$4:$D$166="Online")*('Monthly Occurrences (Support)'!$Z$4:$Z$166))</f>
        <v>0</v>
      </c>
      <c r="V91" s="7">
        <f>SUMPRODUCT(('Monthly Occurrences (Support)'!$C$4:$C$166=$A91)*('Monthly Occurrences (Support)'!$D$4:$D$166="Online")*('Monthly Occurrences (Support)'!$AA$4:$AA$166))</f>
        <v>0</v>
      </c>
      <c r="W91" s="7">
        <f>SUMPRODUCT(('Monthly Occurrences (Support)'!$C$4:$C$166=$A91)*('Monthly Occurrences (Support)'!$D$4:$D$166="Online")*('Monthly Occurrences (Support)'!$AB$4:$AB$166))</f>
        <v>0</v>
      </c>
    </row>
    <row r="92" spans="1:23" x14ac:dyDescent="0.25">
      <c r="A92" s="15" t="s">
        <v>58</v>
      </c>
      <c r="B92" s="4">
        <f>SUMPRODUCT(('Monthly Occurrences (Support)'!$C$4:$C$166=$A92)*('Monthly Occurrences (Support)'!$D$4:$D$166="Online")*('Monthly Occurrences (Support)'!$G$4:$G$166))</f>
        <v>0</v>
      </c>
      <c r="C92" s="4">
        <f>SUMPRODUCT(('Monthly Occurrences (Support)'!$C$4:$C$166=$A92)*('Monthly Occurrences (Support)'!$D$4:$D$166="Online")*('Monthly Occurrences (Support)'!$H$4:$H$166))</f>
        <v>0</v>
      </c>
      <c r="D92" s="4">
        <f>SUMPRODUCT(('Monthly Occurrences (Support)'!$C$4:$C$166=$A92)*('Monthly Occurrences (Support)'!$D$4:$D$166="Online")*('Monthly Occurrences (Support)'!$I$4:$I$166))</f>
        <v>0</v>
      </c>
      <c r="E92" s="4">
        <f>SUMPRODUCT(('Monthly Occurrences (Support)'!$C$4:$C$166=$A92)*('Monthly Occurrences (Support)'!$D$4:$D$166="Online")*('Monthly Occurrences (Support)'!$J$4:$J$166))</f>
        <v>0</v>
      </c>
      <c r="F92" s="4">
        <f>SUMPRODUCT(('Monthly Occurrences (Support)'!$C$4:$C$166=$A92)*('Monthly Occurrences (Support)'!$D$4:$D$166="Online")*('Monthly Occurrences (Support)'!$K$4:$K$166))</f>
        <v>0</v>
      </c>
      <c r="G92" s="4">
        <f>SUMPRODUCT(('Monthly Occurrences (Support)'!$C$4:$C$166=$A92)*('Monthly Occurrences (Support)'!$D$4:$D$166="Online")*('Monthly Occurrences (Support)'!$L$4:$L$166))</f>
        <v>0</v>
      </c>
      <c r="H92" s="4">
        <f>SUMPRODUCT(('Monthly Occurrences (Support)'!$C$4:$C$166=$A92)*('Monthly Occurrences (Support)'!$D$4:$D$166="Online")*('Monthly Occurrences (Support)'!$M$4:$M$166))</f>
        <v>0</v>
      </c>
      <c r="I92" s="4">
        <f>SUMPRODUCT(('Monthly Occurrences (Support)'!$C$4:$C$166=$A92)*('Monthly Occurrences (Support)'!$D$4:$D$166="Online")*('Monthly Occurrences (Support)'!$N$4:$N$166))</f>
        <v>0</v>
      </c>
      <c r="J92" s="4">
        <f>SUMPRODUCT(('Monthly Occurrences (Support)'!$C$4:$C$166=$A92)*('Monthly Occurrences (Support)'!$D$4:$D$166="Online")*('Monthly Occurrences (Support)'!$O$4:$O$166))</f>
        <v>0</v>
      </c>
      <c r="K92" s="4">
        <f>SUMPRODUCT(('Monthly Occurrences (Support)'!$C$4:$C$166=$A92)*('Monthly Occurrences (Support)'!$D$4:$D$166="Online")*('Monthly Occurrences (Support)'!$P$4:$P$166))</f>
        <v>0</v>
      </c>
      <c r="L92" s="4">
        <f>SUMPRODUCT(('Monthly Occurrences (Support)'!$C$4:$C$166=$A92)*('Monthly Occurrences (Support)'!$D$4:$D$166="Online")*('Monthly Occurrences (Support)'!$Q$4:$Q$166))</f>
        <v>0</v>
      </c>
      <c r="M92" s="4">
        <f>SUMPRODUCT(('Monthly Occurrences (Support)'!$C$4:$C$166=$A92)*('Monthly Occurrences (Support)'!$D$4:$D$166="Online")*('Monthly Occurrences (Support)'!$R$4:$R$166))</f>
        <v>0</v>
      </c>
      <c r="N92" s="4">
        <f>SUMPRODUCT(('Monthly Occurrences (Support)'!$C$4:$C$166=$A92)*('Monthly Occurrences (Support)'!$D$4:$D$166="Online")*('Monthly Occurrences (Support)'!$S$4:$S$166))</f>
        <v>0</v>
      </c>
      <c r="O92" s="4">
        <f>SUMPRODUCT(('Monthly Occurrences (Support)'!$C$4:$C$166=$A92)*('Monthly Occurrences (Support)'!$D$4:$D$166="Online")*('Monthly Occurrences (Support)'!$T$4:$T$166))</f>
        <v>0</v>
      </c>
      <c r="P92" s="4">
        <f>SUMPRODUCT(('Monthly Occurrences (Support)'!$C$4:$C$166=$A92)*('Monthly Occurrences (Support)'!$D$4:$D$166="Online")*('Monthly Occurrences (Support)'!$U$4:$U$166))</f>
        <v>0</v>
      </c>
      <c r="Q92" s="4">
        <f>SUMPRODUCT(('Monthly Occurrences (Support)'!$C$4:$C$166=$A92)*('Monthly Occurrences (Support)'!$D$4:$D$166="Online")*('Monthly Occurrences (Support)'!$V$4:$V$166))</f>
        <v>0</v>
      </c>
      <c r="R92" s="4">
        <f>SUMPRODUCT(('Monthly Occurrences (Support)'!$C$4:$C$166=$A92)*('Monthly Occurrences (Support)'!$D$4:$D$166="Online")*('Monthly Occurrences (Support)'!$W$4:$W$166))</f>
        <v>0</v>
      </c>
      <c r="S92" s="4">
        <f>SUMPRODUCT(('Monthly Occurrences (Support)'!$C$4:$C$166=$A92)*('Monthly Occurrences (Support)'!$D$4:$D$166="Online")*('Monthly Occurrences (Support)'!$X$4:$X$166))</f>
        <v>0</v>
      </c>
      <c r="T92" s="4">
        <f>SUMPRODUCT(('Monthly Occurrences (Support)'!$C$4:$C$166=$A92)*('Monthly Occurrences (Support)'!$D$4:$D$166="Online")*('Monthly Occurrences (Support)'!$Y$4:$Y$166))</f>
        <v>0</v>
      </c>
      <c r="U92" s="4">
        <f>SUMPRODUCT(('Monthly Occurrences (Support)'!$C$4:$C$166=$A92)*('Monthly Occurrences (Support)'!$D$4:$D$166="Online")*('Monthly Occurrences (Support)'!$Z$4:$Z$166))</f>
        <v>0</v>
      </c>
      <c r="V92" s="4">
        <f>SUMPRODUCT(('Monthly Occurrences (Support)'!$C$4:$C$166=$A92)*('Monthly Occurrences (Support)'!$D$4:$D$166="Online")*('Monthly Occurrences (Support)'!$AA$4:$AA$166))</f>
        <v>0</v>
      </c>
      <c r="W92" s="4">
        <f>SUMPRODUCT(('Monthly Occurrences (Support)'!$C$4:$C$166=$A92)*('Monthly Occurrences (Support)'!$D$4:$D$166="Online")*('Monthly Occurrences (Support)'!$AB$4:$AB$166))</f>
        <v>0</v>
      </c>
    </row>
    <row r="93" spans="1:23" x14ac:dyDescent="0.25">
      <c r="A93" s="16" t="s">
        <v>59</v>
      </c>
      <c r="B93" s="7">
        <f>SUMPRODUCT(('Monthly Occurrences (Support)'!$C$4:$C$166=$A93)*('Monthly Occurrences (Support)'!$D$4:$D$166="Online")*('Monthly Occurrences (Support)'!$G$4:$G$166))</f>
        <v>0</v>
      </c>
      <c r="C93" s="7">
        <f>SUMPRODUCT(('Monthly Occurrences (Support)'!$C$4:$C$166=$A93)*('Monthly Occurrences (Support)'!$D$4:$D$166="Online")*('Monthly Occurrences (Support)'!$H$4:$H$166))</f>
        <v>0</v>
      </c>
      <c r="D93" s="7">
        <f>SUMPRODUCT(('Monthly Occurrences (Support)'!$C$4:$C$166=$A93)*('Monthly Occurrences (Support)'!$D$4:$D$166="Online")*('Monthly Occurrences (Support)'!$I$4:$I$166))</f>
        <v>0</v>
      </c>
      <c r="E93" s="7">
        <f>SUMPRODUCT(('Monthly Occurrences (Support)'!$C$4:$C$166=$A93)*('Monthly Occurrences (Support)'!$D$4:$D$166="Online")*('Monthly Occurrences (Support)'!$J$4:$J$166))</f>
        <v>0</v>
      </c>
      <c r="F93" s="7">
        <f>SUMPRODUCT(('Monthly Occurrences (Support)'!$C$4:$C$166=$A93)*('Monthly Occurrences (Support)'!$D$4:$D$166="Online")*('Monthly Occurrences (Support)'!$K$4:$K$166))</f>
        <v>0</v>
      </c>
      <c r="G93" s="7">
        <f>SUMPRODUCT(('Monthly Occurrences (Support)'!$C$4:$C$166=$A93)*('Monthly Occurrences (Support)'!$D$4:$D$166="Online")*('Monthly Occurrences (Support)'!$L$4:$L$166))</f>
        <v>0</v>
      </c>
      <c r="H93" s="7">
        <f>SUMPRODUCT(('Monthly Occurrences (Support)'!$C$4:$C$166=$A93)*('Monthly Occurrences (Support)'!$D$4:$D$166="Online")*('Monthly Occurrences (Support)'!$M$4:$M$166))</f>
        <v>0</v>
      </c>
      <c r="I93" s="7">
        <f>SUMPRODUCT(('Monthly Occurrences (Support)'!$C$4:$C$166=$A93)*('Monthly Occurrences (Support)'!$D$4:$D$166="Online")*('Monthly Occurrences (Support)'!$N$4:$N$166))</f>
        <v>0</v>
      </c>
      <c r="J93" s="7">
        <f>SUMPRODUCT(('Monthly Occurrences (Support)'!$C$4:$C$166=$A93)*('Monthly Occurrences (Support)'!$D$4:$D$166="Online")*('Monthly Occurrences (Support)'!$O$4:$O$166))</f>
        <v>0</v>
      </c>
      <c r="K93" s="7">
        <f>SUMPRODUCT(('Monthly Occurrences (Support)'!$C$4:$C$166=$A93)*('Monthly Occurrences (Support)'!$D$4:$D$166="Online")*('Monthly Occurrences (Support)'!$P$4:$P$166))</f>
        <v>0</v>
      </c>
      <c r="L93" s="7">
        <f>SUMPRODUCT(('Monthly Occurrences (Support)'!$C$4:$C$166=$A93)*('Monthly Occurrences (Support)'!$D$4:$D$166="Online")*('Monthly Occurrences (Support)'!$Q$4:$Q$166))</f>
        <v>0</v>
      </c>
      <c r="M93" s="7">
        <f>SUMPRODUCT(('Monthly Occurrences (Support)'!$C$4:$C$166=$A93)*('Monthly Occurrences (Support)'!$D$4:$D$166="Online")*('Monthly Occurrences (Support)'!$R$4:$R$166))</f>
        <v>0</v>
      </c>
      <c r="N93" s="7">
        <f>SUMPRODUCT(('Monthly Occurrences (Support)'!$C$4:$C$166=$A93)*('Monthly Occurrences (Support)'!$D$4:$D$166="Online")*('Monthly Occurrences (Support)'!$S$4:$S$166))</f>
        <v>0</v>
      </c>
      <c r="O93" s="7">
        <f>SUMPRODUCT(('Monthly Occurrences (Support)'!$C$4:$C$166=$A93)*('Monthly Occurrences (Support)'!$D$4:$D$166="Online")*('Monthly Occurrences (Support)'!$T$4:$T$166))</f>
        <v>0</v>
      </c>
      <c r="P93" s="7">
        <f>SUMPRODUCT(('Monthly Occurrences (Support)'!$C$4:$C$166=$A93)*('Monthly Occurrences (Support)'!$D$4:$D$166="Online")*('Monthly Occurrences (Support)'!$U$4:$U$166))</f>
        <v>0</v>
      </c>
      <c r="Q93" s="7">
        <f>SUMPRODUCT(('Monthly Occurrences (Support)'!$C$4:$C$166=$A93)*('Monthly Occurrences (Support)'!$D$4:$D$166="Online")*('Monthly Occurrences (Support)'!$V$4:$V$166))</f>
        <v>0</v>
      </c>
      <c r="R93" s="7">
        <f>SUMPRODUCT(('Monthly Occurrences (Support)'!$C$4:$C$166=$A93)*('Monthly Occurrences (Support)'!$D$4:$D$166="Online")*('Monthly Occurrences (Support)'!$W$4:$W$166))</f>
        <v>0</v>
      </c>
      <c r="S93" s="7">
        <f>SUMPRODUCT(('Monthly Occurrences (Support)'!$C$4:$C$166=$A93)*('Monthly Occurrences (Support)'!$D$4:$D$166="Online")*('Monthly Occurrences (Support)'!$X$4:$X$166))</f>
        <v>0</v>
      </c>
      <c r="T93" s="7">
        <f>SUMPRODUCT(('Monthly Occurrences (Support)'!$C$4:$C$166=$A93)*('Monthly Occurrences (Support)'!$D$4:$D$166="Online")*('Monthly Occurrences (Support)'!$Y$4:$Y$166))</f>
        <v>0</v>
      </c>
      <c r="U93" s="7">
        <f>SUMPRODUCT(('Monthly Occurrences (Support)'!$C$4:$C$166=$A93)*('Monthly Occurrences (Support)'!$D$4:$D$166="Online")*('Monthly Occurrences (Support)'!$Z$4:$Z$166))</f>
        <v>0</v>
      </c>
      <c r="V93" s="7">
        <f>SUMPRODUCT(('Monthly Occurrences (Support)'!$C$4:$C$166=$A93)*('Monthly Occurrences (Support)'!$D$4:$D$166="Online")*('Monthly Occurrences (Support)'!$AA$4:$AA$166))</f>
        <v>0</v>
      </c>
      <c r="W93" s="7">
        <f>SUMPRODUCT(('Monthly Occurrences (Support)'!$C$4:$C$166=$A93)*('Monthly Occurrences (Support)'!$D$4:$D$166="Online")*('Monthly Occurrences (Support)'!$AB$4:$AB$166))</f>
        <v>0</v>
      </c>
    </row>
    <row r="94" spans="1:23" x14ac:dyDescent="0.25">
      <c r="A94" s="17" t="s">
        <v>66</v>
      </c>
      <c r="B94" s="5">
        <f t="shared" ref="B94:W94" si="4">COUNTIF(B68:B93,"&gt;0")</f>
        <v>0</v>
      </c>
      <c r="C94" s="5">
        <f t="shared" si="4"/>
        <v>0</v>
      </c>
      <c r="D94" s="5">
        <f t="shared" si="4"/>
        <v>0</v>
      </c>
      <c r="E94" s="5">
        <f t="shared" si="4"/>
        <v>0</v>
      </c>
      <c r="F94" s="5">
        <f t="shared" si="4"/>
        <v>2</v>
      </c>
      <c r="G94" s="5">
        <f t="shared" si="4"/>
        <v>2</v>
      </c>
      <c r="H94" s="5">
        <f t="shared" si="4"/>
        <v>2</v>
      </c>
      <c r="I94" s="5">
        <f t="shared" si="4"/>
        <v>2</v>
      </c>
      <c r="J94" s="5">
        <f t="shared" si="4"/>
        <v>4</v>
      </c>
      <c r="K94" s="5">
        <f t="shared" si="4"/>
        <v>4</v>
      </c>
      <c r="L94" s="5">
        <f t="shared" si="4"/>
        <v>4</v>
      </c>
      <c r="M94" s="5">
        <f t="shared" si="4"/>
        <v>3</v>
      </c>
      <c r="N94" s="5">
        <f t="shared" si="4"/>
        <v>1</v>
      </c>
      <c r="O94" s="5">
        <f t="shared" si="4"/>
        <v>1</v>
      </c>
      <c r="P94" s="5">
        <f t="shared" si="4"/>
        <v>0</v>
      </c>
      <c r="Q94" s="5">
        <f t="shared" si="4"/>
        <v>0</v>
      </c>
      <c r="R94" s="5">
        <f t="shared" si="4"/>
        <v>0</v>
      </c>
      <c r="S94" s="5">
        <f t="shared" si="4"/>
        <v>0</v>
      </c>
      <c r="T94" s="5">
        <f t="shared" si="4"/>
        <v>0</v>
      </c>
      <c r="U94" s="5">
        <f t="shared" si="4"/>
        <v>0</v>
      </c>
      <c r="V94" s="5">
        <f t="shared" si="4"/>
        <v>0</v>
      </c>
      <c r="W94" s="5">
        <f t="shared" si="4"/>
        <v>0</v>
      </c>
    </row>
    <row r="95" spans="1:23" x14ac:dyDescent="0.25">
      <c r="A95" s="18" t="s">
        <v>67</v>
      </c>
      <c r="B95" s="19">
        <f t="shared" ref="B95:W95" si="5">26-B94</f>
        <v>26</v>
      </c>
      <c r="C95" s="19">
        <f t="shared" si="5"/>
        <v>26</v>
      </c>
      <c r="D95" s="19">
        <f t="shared" si="5"/>
        <v>26</v>
      </c>
      <c r="E95" s="19">
        <f t="shared" si="5"/>
        <v>26</v>
      </c>
      <c r="F95" s="19">
        <f t="shared" si="5"/>
        <v>24</v>
      </c>
      <c r="G95" s="19">
        <f t="shared" si="5"/>
        <v>24</v>
      </c>
      <c r="H95" s="19">
        <f t="shared" si="5"/>
        <v>24</v>
      </c>
      <c r="I95" s="19">
        <f t="shared" si="5"/>
        <v>24</v>
      </c>
      <c r="J95" s="19">
        <f t="shared" si="5"/>
        <v>22</v>
      </c>
      <c r="K95" s="19">
        <f t="shared" si="5"/>
        <v>22</v>
      </c>
      <c r="L95" s="19">
        <f t="shared" si="5"/>
        <v>22</v>
      </c>
      <c r="M95" s="19">
        <f t="shared" si="5"/>
        <v>23</v>
      </c>
      <c r="N95" s="19">
        <f t="shared" si="5"/>
        <v>25</v>
      </c>
      <c r="O95" s="19">
        <f t="shared" si="5"/>
        <v>25</v>
      </c>
      <c r="P95" s="19">
        <f t="shared" si="5"/>
        <v>26</v>
      </c>
      <c r="Q95" s="19">
        <f t="shared" si="5"/>
        <v>26</v>
      </c>
      <c r="R95" s="19">
        <f t="shared" si="5"/>
        <v>26</v>
      </c>
      <c r="S95" s="19">
        <f t="shared" si="5"/>
        <v>26</v>
      </c>
      <c r="T95" s="19">
        <f t="shared" si="5"/>
        <v>26</v>
      </c>
      <c r="U95" s="19">
        <f t="shared" si="5"/>
        <v>26</v>
      </c>
      <c r="V95" s="19">
        <f t="shared" si="5"/>
        <v>26</v>
      </c>
      <c r="W95" s="19">
        <f t="shared" si="5"/>
        <v>26</v>
      </c>
    </row>
    <row r="97" spans="1:23" x14ac:dyDescent="0.25">
      <c r="A97" s="62" t="s">
        <v>68</v>
      </c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</row>
    <row r="98" spans="1:23" ht="15.75" customHeight="1" x14ac:dyDescent="0.25">
      <c r="A98" s="13" t="s">
        <v>33</v>
      </c>
      <c r="B98" s="14">
        <v>45962</v>
      </c>
      <c r="C98" s="14">
        <v>45992</v>
      </c>
      <c r="D98" s="14">
        <v>46023</v>
      </c>
      <c r="E98" s="14">
        <v>46054</v>
      </c>
      <c r="F98" s="14">
        <v>46082</v>
      </c>
      <c r="G98" s="14">
        <v>46113</v>
      </c>
      <c r="H98" s="14">
        <v>46143</v>
      </c>
      <c r="I98" s="14">
        <v>46174</v>
      </c>
      <c r="J98" s="14">
        <v>46204</v>
      </c>
      <c r="K98" s="14">
        <v>46235</v>
      </c>
      <c r="L98" s="14">
        <v>46266</v>
      </c>
      <c r="M98" s="14">
        <v>46296</v>
      </c>
      <c r="N98" s="14">
        <v>46327</v>
      </c>
      <c r="O98" s="14">
        <v>46357</v>
      </c>
      <c r="P98" s="14">
        <v>46388</v>
      </c>
      <c r="Q98" s="14">
        <v>46419</v>
      </c>
      <c r="R98" s="14">
        <v>46447</v>
      </c>
      <c r="S98" s="14">
        <v>46478</v>
      </c>
      <c r="T98" s="14">
        <v>46508</v>
      </c>
      <c r="U98" s="14">
        <v>46539</v>
      </c>
      <c r="V98" s="14">
        <v>46569</v>
      </c>
      <c r="W98" s="14">
        <v>46600</v>
      </c>
    </row>
    <row r="99" spans="1:23" x14ac:dyDescent="0.25">
      <c r="A99" s="15" t="s">
        <v>69</v>
      </c>
      <c r="B99" s="4">
        <f>SUMPRODUCT(('Monthly Occurrences (Support)'!$C$4:$C$166=$A99)*('Monthly Occurrences (Support)'!$G$4:$G$166))</f>
        <v>0</v>
      </c>
      <c r="C99" s="4">
        <f>SUMPRODUCT(('Monthly Occurrences (Support)'!$C$4:$C$166=$A99)*('Monthly Occurrences (Support)'!$H$4:$H$166))</f>
        <v>0</v>
      </c>
      <c r="D99" s="4">
        <f>SUMPRODUCT(('Monthly Occurrences (Support)'!$C$4:$C$166=$A99)*('Monthly Occurrences (Support)'!$I$4:$I$166))</f>
        <v>0</v>
      </c>
      <c r="E99" s="4">
        <f>SUMPRODUCT(('Monthly Occurrences (Support)'!$C$4:$C$166=$A99)*('Monthly Occurrences (Support)'!$J$4:$J$166))</f>
        <v>0</v>
      </c>
      <c r="F99" s="4">
        <f>SUMPRODUCT(('Monthly Occurrences (Support)'!$C$4:$C$166=$A99)*('Monthly Occurrences (Support)'!$K$4:$K$166))</f>
        <v>0</v>
      </c>
      <c r="G99" s="4">
        <f>SUMPRODUCT(('Monthly Occurrences (Support)'!$C$4:$C$166=$A99)*('Monthly Occurrences (Support)'!$L$4:$L$166))</f>
        <v>0</v>
      </c>
      <c r="H99" s="4">
        <f>SUMPRODUCT(('Monthly Occurrences (Support)'!$C$4:$C$166=$A99)*('Monthly Occurrences (Support)'!$M$4:$M$166))</f>
        <v>0</v>
      </c>
      <c r="I99" s="4">
        <f>SUMPRODUCT(('Monthly Occurrences (Support)'!$C$4:$C$166=$A99)*('Monthly Occurrences (Support)'!$N$4:$N$166))</f>
        <v>0</v>
      </c>
      <c r="J99" s="4">
        <f>SUMPRODUCT(('Monthly Occurrences (Support)'!$C$4:$C$166=$A99)*('Monthly Occurrences (Support)'!$O$4:$O$166))</f>
        <v>3</v>
      </c>
      <c r="K99" s="4">
        <f>SUMPRODUCT(('Monthly Occurrences (Support)'!$C$4:$C$166=$A99)*('Monthly Occurrences (Support)'!$P$4:$P$166))</f>
        <v>5</v>
      </c>
      <c r="L99" s="4">
        <f>SUMPRODUCT(('Monthly Occurrences (Support)'!$C$4:$C$166=$A99)*('Monthly Occurrences (Support)'!$Q$4:$Q$166))</f>
        <v>4</v>
      </c>
      <c r="M99" s="4">
        <f>SUMPRODUCT(('Monthly Occurrences (Support)'!$C$4:$C$166=$A99)*('Monthly Occurrences (Support)'!$R$4:$R$166))</f>
        <v>5</v>
      </c>
      <c r="N99" s="4">
        <f>SUMPRODUCT(('Monthly Occurrences (Support)'!$C$4:$C$166=$A99)*('Monthly Occurrences (Support)'!$S$4:$S$166))</f>
        <v>4</v>
      </c>
      <c r="O99" s="4">
        <f>SUMPRODUCT(('Monthly Occurrences (Support)'!$C$4:$C$166=$A99)*('Monthly Occurrences (Support)'!$T$4:$T$166))</f>
        <v>1</v>
      </c>
      <c r="P99" s="4">
        <f>SUMPRODUCT(('Monthly Occurrences (Support)'!$C$4:$C$166=$A99)*('Monthly Occurrences (Support)'!$U$4:$U$166))</f>
        <v>0</v>
      </c>
      <c r="Q99" s="4">
        <f>SUMPRODUCT(('Monthly Occurrences (Support)'!$C$4:$C$166=$A99)*('Monthly Occurrences (Support)'!$V$4:$V$166))</f>
        <v>0</v>
      </c>
      <c r="R99" s="4">
        <f>SUMPRODUCT(('Monthly Occurrences (Support)'!$C$4:$C$166=$A99)*('Monthly Occurrences (Support)'!$W$4:$W$166))</f>
        <v>0</v>
      </c>
      <c r="S99" s="4">
        <f>SUMPRODUCT(('Monthly Occurrences (Support)'!$C$4:$C$166=$A99)*('Monthly Occurrences (Support)'!$X$4:$X$166))</f>
        <v>0</v>
      </c>
      <c r="T99" s="4">
        <f>SUMPRODUCT(('Monthly Occurrences (Support)'!$C$4:$C$166=$A99)*('Monthly Occurrences (Support)'!$Y$4:$Y$166))</f>
        <v>0</v>
      </c>
      <c r="U99" s="4">
        <f>SUMPRODUCT(('Monthly Occurrences (Support)'!$C$4:$C$166=$A99)*('Monthly Occurrences (Support)'!$Z$4:$Z$166))</f>
        <v>0</v>
      </c>
      <c r="V99" s="4">
        <f>SUMPRODUCT(('Monthly Occurrences (Support)'!$C$4:$C$166=$A99)*('Monthly Occurrences (Support)'!$AA$4:$AA$166))</f>
        <v>0</v>
      </c>
      <c r="W99" s="4">
        <f>SUMPRODUCT(('Monthly Occurrences (Support)'!$C$4:$C$166=$A99)*('Monthly Occurrences (Support)'!$AB$4:$AB$166))</f>
        <v>0</v>
      </c>
    </row>
    <row r="100" spans="1:23" x14ac:dyDescent="0.25">
      <c r="A100" s="15" t="s">
        <v>70</v>
      </c>
      <c r="B100" s="4">
        <f>SUMPRODUCT(('Monthly Occurrences (Support)'!$C$4:$C$166=$A100)*('Monthly Occurrences (Support)'!$G$4:$G$166))</f>
        <v>0</v>
      </c>
      <c r="C100" s="4">
        <f>SUMPRODUCT(('Monthly Occurrences (Support)'!$C$4:$C$166=$A100)*('Monthly Occurrences (Support)'!$H$4:$H$166))</f>
        <v>0</v>
      </c>
      <c r="D100" s="4">
        <f>SUMPRODUCT(('Monthly Occurrences (Support)'!$C$4:$C$166=$A100)*('Monthly Occurrences (Support)'!$I$4:$I$166))</f>
        <v>0</v>
      </c>
      <c r="E100" s="4">
        <f>SUMPRODUCT(('Monthly Occurrences (Support)'!$C$4:$C$166=$A100)*('Monthly Occurrences (Support)'!$J$4:$J$166))</f>
        <v>0</v>
      </c>
      <c r="F100" s="4">
        <f>SUMPRODUCT(('Monthly Occurrences (Support)'!$C$4:$C$166=$A100)*('Monthly Occurrences (Support)'!$K$4:$K$166))</f>
        <v>0</v>
      </c>
      <c r="G100" s="4">
        <f>SUMPRODUCT(('Monthly Occurrences (Support)'!$C$4:$C$166=$A100)*('Monthly Occurrences (Support)'!$L$4:$L$166))</f>
        <v>0</v>
      </c>
      <c r="H100" s="4">
        <f>SUMPRODUCT(('Monthly Occurrences (Support)'!$C$4:$C$166=$A100)*('Monthly Occurrences (Support)'!$M$4:$M$166))</f>
        <v>0</v>
      </c>
      <c r="I100" s="4">
        <f>SUMPRODUCT(('Monthly Occurrences (Support)'!$C$4:$C$166=$A100)*('Monthly Occurrences (Support)'!$N$4:$N$166))</f>
        <v>0</v>
      </c>
      <c r="J100" s="4">
        <f>SUMPRODUCT(('Monthly Occurrences (Support)'!$C$4:$C$166=$A100)*('Monthly Occurrences (Support)'!$O$4:$O$166))</f>
        <v>0</v>
      </c>
      <c r="K100" s="4">
        <f>SUMPRODUCT(('Monthly Occurrences (Support)'!$C$4:$C$166=$A100)*('Monthly Occurrences (Support)'!$P$4:$P$166))</f>
        <v>0</v>
      </c>
      <c r="L100" s="4">
        <f>SUMPRODUCT(('Monthly Occurrences (Support)'!$C$4:$C$166=$A100)*('Monthly Occurrences (Support)'!$Q$4:$Q$166))</f>
        <v>0</v>
      </c>
      <c r="M100" s="4">
        <f>SUMPRODUCT(('Monthly Occurrences (Support)'!$C$4:$C$166=$A100)*('Monthly Occurrences (Support)'!$R$4:$R$166))</f>
        <v>0</v>
      </c>
      <c r="N100" s="4">
        <f>SUMPRODUCT(('Monthly Occurrences (Support)'!$C$4:$C$166=$A100)*('Monthly Occurrences (Support)'!$S$4:$S$166))</f>
        <v>0</v>
      </c>
      <c r="O100" s="4">
        <f>SUMPRODUCT(('Monthly Occurrences (Support)'!$C$4:$C$166=$A100)*('Monthly Occurrences (Support)'!$T$4:$T$166))</f>
        <v>0</v>
      </c>
      <c r="P100" s="4">
        <f>SUMPRODUCT(('Monthly Occurrences (Support)'!$C$4:$C$166=$A100)*('Monthly Occurrences (Support)'!$U$4:$U$166))</f>
        <v>0</v>
      </c>
      <c r="Q100" s="4">
        <f>SUMPRODUCT(('Monthly Occurrences (Support)'!$C$4:$C$166=$A100)*('Monthly Occurrences (Support)'!$V$4:$V$166))</f>
        <v>0</v>
      </c>
      <c r="R100" s="4">
        <f>SUMPRODUCT(('Monthly Occurrences (Support)'!$C$4:$C$166=$A100)*('Monthly Occurrences (Support)'!$W$4:$W$166))</f>
        <v>0</v>
      </c>
      <c r="S100" s="4">
        <f>SUMPRODUCT(('Monthly Occurrences (Support)'!$C$4:$C$166=$A100)*('Monthly Occurrences (Support)'!$X$4:$X$166))</f>
        <v>0</v>
      </c>
      <c r="T100" s="4">
        <f>SUMPRODUCT(('Monthly Occurrences (Support)'!$C$4:$C$166=$A100)*('Monthly Occurrences (Support)'!$Y$4:$Y$166))</f>
        <v>0</v>
      </c>
      <c r="U100" s="4">
        <f>SUMPRODUCT(('Monthly Occurrences (Support)'!$C$4:$C$166=$A100)*('Monthly Occurrences (Support)'!$Z$4:$Z$166))</f>
        <v>0</v>
      </c>
      <c r="V100" s="4">
        <f>SUMPRODUCT(('Monthly Occurrences (Support)'!$C$4:$C$166=$A100)*('Monthly Occurrences (Support)'!$AA$4:$AA$166))</f>
        <v>0</v>
      </c>
      <c r="W100" s="4">
        <f>SUMPRODUCT(('Monthly Occurrences (Support)'!$C$4:$C$166=$A100)*('Monthly Occurrences (Support)'!$AB$4:$AB$166))</f>
        <v>0</v>
      </c>
    </row>
  </sheetData>
  <mergeCells count="5">
    <mergeCell ref="A2:W2"/>
    <mergeCell ref="A4:W4"/>
    <mergeCell ref="A35:W35"/>
    <mergeCell ref="A66:W66"/>
    <mergeCell ref="A97:W9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/>
  <dimension ref="A1:K209"/>
  <sheetViews>
    <sheetView showGridLines="0" tabSelected="1" zoomScale="80" zoomScaleNormal="80" workbookViewId="0">
      <pane ySplit="13" topLeftCell="A14" activePane="bottomLeft" state="frozen"/>
      <selection pane="bottomLeft" activeCell="B7" sqref="B7:C7"/>
    </sheetView>
  </sheetViews>
  <sheetFormatPr defaultColWidth="8.7109375" defaultRowHeight="15" x14ac:dyDescent="0.25"/>
  <cols>
    <col min="1" max="1" width="22" customWidth="1"/>
    <col min="2" max="2" width="24.42578125" bestFit="1" customWidth="1"/>
    <col min="3" max="3" width="12" customWidth="1"/>
    <col min="4" max="4" width="34" customWidth="1"/>
    <col min="5" max="5" width="12" customWidth="1"/>
    <col min="6" max="6" width="22" customWidth="1"/>
    <col min="7" max="7" width="14" customWidth="1"/>
    <col min="8" max="8" width="12" customWidth="1"/>
    <col min="10" max="11" width="13" hidden="1" customWidth="1"/>
  </cols>
  <sheetData>
    <row r="1" spans="1:11" ht="19.5" customHeight="1" x14ac:dyDescent="0.25">
      <c r="A1" s="68" t="s">
        <v>71</v>
      </c>
      <c r="B1" s="68"/>
      <c r="C1" s="68"/>
      <c r="D1" s="68"/>
      <c r="E1" s="68"/>
      <c r="F1" s="68"/>
      <c r="G1" s="68"/>
      <c r="H1" s="68"/>
    </row>
    <row r="2" spans="1:11" ht="19.5" customHeight="1" x14ac:dyDescent="0.25">
      <c r="A2" s="68"/>
      <c r="B2" s="68"/>
      <c r="C2" s="68"/>
      <c r="D2" s="68"/>
      <c r="E2" s="68"/>
      <c r="F2" s="68"/>
      <c r="G2" s="68"/>
      <c r="H2" s="68"/>
    </row>
    <row r="3" spans="1:11" ht="15" customHeight="1" x14ac:dyDescent="0.25">
      <c r="A3" s="64" t="s">
        <v>72</v>
      </c>
      <c r="B3" s="64"/>
      <c r="C3" s="64"/>
      <c r="D3" s="64"/>
      <c r="E3" s="64"/>
      <c r="F3" s="64"/>
      <c r="G3" s="64"/>
      <c r="H3" s="64"/>
    </row>
    <row r="5" spans="1:11" ht="21.75" customHeight="1" x14ac:dyDescent="0.25">
      <c r="A5" s="67" t="s">
        <v>73</v>
      </c>
      <c r="B5" s="67"/>
      <c r="C5" s="67"/>
      <c r="D5" s="67"/>
      <c r="E5" s="67"/>
      <c r="F5" s="67"/>
      <c r="G5" s="67"/>
      <c r="H5" s="67"/>
    </row>
    <row r="7" spans="1:11" ht="15" customHeight="1" x14ac:dyDescent="0.25">
      <c r="A7" s="20" t="s">
        <v>74</v>
      </c>
      <c r="B7" s="69" t="s">
        <v>244</v>
      </c>
      <c r="C7" s="69"/>
      <c r="D7" s="20" t="s">
        <v>76</v>
      </c>
      <c r="E7" s="70">
        <v>0.42708333333333298</v>
      </c>
      <c r="F7" s="70"/>
      <c r="G7" s="71" t="s">
        <v>77</v>
      </c>
      <c r="H7" s="71"/>
    </row>
    <row r="8" spans="1:11" ht="22.35" customHeight="1" x14ac:dyDescent="0.25">
      <c r="A8" s="20" t="s">
        <v>78</v>
      </c>
      <c r="B8" s="63">
        <v>46266</v>
      </c>
      <c r="C8" s="63"/>
      <c r="D8" s="64" t="s">
        <v>80</v>
      </c>
      <c r="E8" s="64"/>
      <c r="F8" s="64"/>
      <c r="G8" s="64"/>
      <c r="H8" s="64"/>
    </row>
    <row r="10" spans="1:11" x14ac:dyDescent="0.25">
      <c r="A10" s="21" t="s">
        <v>81</v>
      </c>
      <c r="B10" s="65" t="s">
        <v>82</v>
      </c>
      <c r="C10" s="65"/>
      <c r="D10" s="65"/>
      <c r="E10" s="65"/>
      <c r="F10" s="65"/>
      <c r="G10" s="65"/>
      <c r="H10" s="65"/>
    </row>
    <row r="11" spans="1:11" x14ac:dyDescent="0.25">
      <c r="A11" s="21" t="s">
        <v>83</v>
      </c>
      <c r="B11" s="66" t="s">
        <v>445</v>
      </c>
      <c r="C11" s="66"/>
      <c r="D11" s="66"/>
      <c r="E11" s="66"/>
      <c r="F11" s="66"/>
      <c r="G11" s="66"/>
      <c r="H11" s="66"/>
    </row>
    <row r="13" spans="1:11" x14ac:dyDescent="0.25">
      <c r="A13" s="22" t="s">
        <v>33</v>
      </c>
      <c r="B13" s="22" t="s">
        <v>84</v>
      </c>
      <c r="C13" s="22" t="s">
        <v>85</v>
      </c>
      <c r="D13" s="22" t="s">
        <v>86</v>
      </c>
      <c r="E13" s="22" t="s">
        <v>15</v>
      </c>
      <c r="F13" s="22" t="s">
        <v>87</v>
      </c>
    </row>
    <row r="14" spans="1:11" x14ac:dyDescent="0.25">
      <c r="A14" s="23" t="s">
        <v>34</v>
      </c>
      <c r="B14" s="23" t="s">
        <v>88</v>
      </c>
      <c r="C14" s="24" t="s">
        <v>441</v>
      </c>
      <c r="D14" s="23" t="s">
        <v>247</v>
      </c>
      <c r="E14" s="24" t="s">
        <v>19</v>
      </c>
      <c r="F14" s="24" t="s">
        <v>442</v>
      </c>
      <c r="J14" s="21" t="s">
        <v>90</v>
      </c>
      <c r="K14" s="21" t="s">
        <v>91</v>
      </c>
    </row>
    <row r="15" spans="1:11" x14ac:dyDescent="0.25">
      <c r="A15" s="23" t="s">
        <v>35</v>
      </c>
      <c r="B15" s="23" t="s">
        <v>88</v>
      </c>
      <c r="C15" s="24" t="s">
        <v>89</v>
      </c>
      <c r="D15" s="23"/>
      <c r="E15" s="24"/>
      <c r="F15" s="24"/>
      <c r="J15" s="25">
        <v>0.29166666666666702</v>
      </c>
      <c r="K15" t="s">
        <v>79</v>
      </c>
    </row>
    <row r="16" spans="1:11" x14ac:dyDescent="0.25">
      <c r="A16" s="23" t="s">
        <v>36</v>
      </c>
      <c r="B16" s="23" t="s">
        <v>88</v>
      </c>
      <c r="C16" s="24" t="s">
        <v>89</v>
      </c>
      <c r="D16" s="23"/>
      <c r="E16" s="24"/>
      <c r="F16" s="24"/>
      <c r="J16" s="25">
        <v>0.30208333333333298</v>
      </c>
      <c r="K16" s="26">
        <v>45962</v>
      </c>
    </row>
    <row r="17" spans="1:11" x14ac:dyDescent="0.25">
      <c r="A17" s="23" t="s">
        <v>37</v>
      </c>
      <c r="B17" s="23" t="s">
        <v>88</v>
      </c>
      <c r="C17" s="24" t="s">
        <v>89</v>
      </c>
      <c r="D17" s="23"/>
      <c r="E17" s="24"/>
      <c r="F17" s="24"/>
      <c r="J17" s="25">
        <v>0.3125</v>
      </c>
      <c r="K17" s="26">
        <v>45992</v>
      </c>
    </row>
    <row r="18" spans="1:11" x14ac:dyDescent="0.25">
      <c r="A18" s="23" t="s">
        <v>38</v>
      </c>
      <c r="B18" s="23" t="s">
        <v>88</v>
      </c>
      <c r="C18" s="24" t="s">
        <v>441</v>
      </c>
      <c r="D18" s="23" t="s">
        <v>251</v>
      </c>
      <c r="E18" s="24" t="s">
        <v>19</v>
      </c>
      <c r="F18" s="24" t="s">
        <v>442</v>
      </c>
      <c r="J18" s="25">
        <v>0.32291666666666702</v>
      </c>
      <c r="K18" s="26">
        <v>46023</v>
      </c>
    </row>
    <row r="19" spans="1:11" x14ac:dyDescent="0.25">
      <c r="A19" s="23" t="s">
        <v>39</v>
      </c>
      <c r="B19" s="23" t="s">
        <v>88</v>
      </c>
      <c r="C19" s="24" t="s">
        <v>89</v>
      </c>
      <c r="D19" s="23"/>
      <c r="E19" s="24"/>
      <c r="F19" s="24"/>
      <c r="J19" s="25">
        <v>0.33333333333333298</v>
      </c>
      <c r="K19" s="26">
        <v>46054</v>
      </c>
    </row>
    <row r="20" spans="1:11" x14ac:dyDescent="0.25">
      <c r="A20" s="23" t="s">
        <v>40</v>
      </c>
      <c r="B20" s="23" t="s">
        <v>88</v>
      </c>
      <c r="C20" s="24" t="s">
        <v>89</v>
      </c>
      <c r="D20" s="23"/>
      <c r="E20" s="24"/>
      <c r="F20" s="24"/>
      <c r="J20" s="25">
        <v>0.34375</v>
      </c>
      <c r="K20" s="26">
        <v>46082</v>
      </c>
    </row>
    <row r="21" spans="1:11" x14ac:dyDescent="0.25">
      <c r="A21" s="23" t="s">
        <v>41</v>
      </c>
      <c r="B21" s="23" t="s">
        <v>88</v>
      </c>
      <c r="C21" s="24" t="s">
        <v>441</v>
      </c>
      <c r="D21" s="23" t="s">
        <v>252</v>
      </c>
      <c r="E21" s="24" t="s">
        <v>18</v>
      </c>
      <c r="F21" s="24" t="s">
        <v>442</v>
      </c>
      <c r="J21" s="25">
        <v>0.35416666666666702</v>
      </c>
      <c r="K21" s="26">
        <v>46113</v>
      </c>
    </row>
    <row r="22" spans="1:11" x14ac:dyDescent="0.25">
      <c r="A22" s="23" t="s">
        <v>42</v>
      </c>
      <c r="B22" s="23" t="s">
        <v>88</v>
      </c>
      <c r="C22" s="24" t="s">
        <v>441</v>
      </c>
      <c r="D22" s="23" t="s">
        <v>270</v>
      </c>
      <c r="E22" s="24" t="s">
        <v>18</v>
      </c>
      <c r="F22" s="24" t="s">
        <v>444</v>
      </c>
      <c r="J22" s="25">
        <v>0.36458333333333298</v>
      </c>
      <c r="K22" s="26">
        <v>46143</v>
      </c>
    </row>
    <row r="23" spans="1:11" x14ac:dyDescent="0.25">
      <c r="A23" s="23" t="s">
        <v>43</v>
      </c>
      <c r="B23" s="23" t="s">
        <v>88</v>
      </c>
      <c r="C23" s="24" t="s">
        <v>89</v>
      </c>
      <c r="D23" s="23"/>
      <c r="E23" s="24"/>
      <c r="F23" s="24"/>
      <c r="J23" s="25">
        <v>0.375</v>
      </c>
      <c r="K23" s="26">
        <v>46174</v>
      </c>
    </row>
    <row r="24" spans="1:11" x14ac:dyDescent="0.25">
      <c r="A24" s="23" t="s">
        <v>44</v>
      </c>
      <c r="B24" s="23" t="s">
        <v>88</v>
      </c>
      <c r="C24" s="24" t="s">
        <v>89</v>
      </c>
      <c r="D24" s="23"/>
      <c r="E24" s="24"/>
      <c r="F24" s="24"/>
      <c r="J24" s="25">
        <v>0.38541666666666702</v>
      </c>
      <c r="K24" s="26">
        <v>46204</v>
      </c>
    </row>
    <row r="25" spans="1:11" x14ac:dyDescent="0.25">
      <c r="A25" s="23" t="s">
        <v>45</v>
      </c>
      <c r="B25" s="23" t="s">
        <v>88</v>
      </c>
      <c r="C25" s="24" t="s">
        <v>89</v>
      </c>
      <c r="D25" s="23"/>
      <c r="E25" s="24"/>
      <c r="F25" s="24"/>
      <c r="J25" s="25">
        <v>0.39583333333333298</v>
      </c>
      <c r="K25" s="26">
        <v>46235</v>
      </c>
    </row>
    <row r="26" spans="1:11" x14ac:dyDescent="0.25">
      <c r="A26" s="23" t="s">
        <v>46</v>
      </c>
      <c r="B26" s="23" t="s">
        <v>88</v>
      </c>
      <c r="C26" s="24" t="s">
        <v>441</v>
      </c>
      <c r="D26" s="23" t="s">
        <v>256</v>
      </c>
      <c r="E26" s="24" t="s">
        <v>18</v>
      </c>
      <c r="F26" s="24" t="s">
        <v>443</v>
      </c>
      <c r="J26" s="25">
        <v>0.40625</v>
      </c>
      <c r="K26" s="26">
        <v>46266</v>
      </c>
    </row>
    <row r="27" spans="1:11" x14ac:dyDescent="0.25">
      <c r="A27" s="23" t="s">
        <v>47</v>
      </c>
      <c r="B27" s="23" t="s">
        <v>88</v>
      </c>
      <c r="C27" s="24" t="s">
        <v>441</v>
      </c>
      <c r="D27" s="23" t="s">
        <v>257</v>
      </c>
      <c r="E27" s="24" t="s">
        <v>18</v>
      </c>
      <c r="F27" s="24" t="s">
        <v>443</v>
      </c>
      <c r="J27" s="25">
        <v>0.41666666666666702</v>
      </c>
      <c r="K27" s="26">
        <v>46296</v>
      </c>
    </row>
    <row r="28" spans="1:11" x14ac:dyDescent="0.25">
      <c r="A28" s="23" t="s">
        <v>48</v>
      </c>
      <c r="B28" s="23" t="s">
        <v>88</v>
      </c>
      <c r="C28" s="24" t="s">
        <v>441</v>
      </c>
      <c r="D28" s="23" t="s">
        <v>258</v>
      </c>
      <c r="E28" s="24" t="s">
        <v>18</v>
      </c>
      <c r="F28" s="24" t="s">
        <v>443</v>
      </c>
      <c r="J28" s="25">
        <v>0.42708333333333298</v>
      </c>
      <c r="K28" s="26">
        <v>46327</v>
      </c>
    </row>
    <row r="29" spans="1:11" x14ac:dyDescent="0.25">
      <c r="A29" s="23" t="s">
        <v>49</v>
      </c>
      <c r="B29" s="23" t="s">
        <v>88</v>
      </c>
      <c r="C29" s="24" t="s">
        <v>441</v>
      </c>
      <c r="D29" s="23" t="s">
        <v>259</v>
      </c>
      <c r="E29" s="24" t="s">
        <v>18</v>
      </c>
      <c r="F29" s="24" t="s">
        <v>443</v>
      </c>
      <c r="J29" s="25">
        <v>0.4375</v>
      </c>
      <c r="K29" s="26">
        <v>46357</v>
      </c>
    </row>
    <row r="30" spans="1:11" x14ac:dyDescent="0.25">
      <c r="A30" s="23" t="s">
        <v>50</v>
      </c>
      <c r="B30" s="23" t="s">
        <v>88</v>
      </c>
      <c r="C30" s="24" t="s">
        <v>89</v>
      </c>
      <c r="D30" s="23"/>
      <c r="E30" s="24"/>
      <c r="F30" s="24"/>
      <c r="J30" s="25">
        <v>0.44791666666666702</v>
      </c>
      <c r="K30" s="26">
        <v>46388</v>
      </c>
    </row>
    <row r="31" spans="1:11" x14ac:dyDescent="0.25">
      <c r="A31" s="23" t="s">
        <v>51</v>
      </c>
      <c r="B31" s="23" t="s">
        <v>88</v>
      </c>
      <c r="C31" s="24" t="s">
        <v>441</v>
      </c>
      <c r="D31" s="23" t="s">
        <v>261</v>
      </c>
      <c r="E31" s="24" t="s">
        <v>18</v>
      </c>
      <c r="F31" s="24" t="s">
        <v>442</v>
      </c>
      <c r="J31" s="25">
        <v>0.45833333333333298</v>
      </c>
      <c r="K31" s="26">
        <v>46419</v>
      </c>
    </row>
    <row r="32" spans="1:11" x14ac:dyDescent="0.25">
      <c r="A32" s="23" t="s">
        <v>52</v>
      </c>
      <c r="B32" s="23" t="s">
        <v>88</v>
      </c>
      <c r="C32" s="24" t="s">
        <v>441</v>
      </c>
      <c r="D32" s="23" t="s">
        <v>262</v>
      </c>
      <c r="E32" s="24" t="s">
        <v>18</v>
      </c>
      <c r="F32" s="24" t="s">
        <v>442</v>
      </c>
      <c r="J32" s="25">
        <v>0.46875</v>
      </c>
      <c r="K32" s="26">
        <v>46447</v>
      </c>
    </row>
    <row r="33" spans="1:11" x14ac:dyDescent="0.25">
      <c r="A33" s="23" t="s">
        <v>53</v>
      </c>
      <c r="B33" s="23" t="s">
        <v>88</v>
      </c>
      <c r="C33" s="24" t="s">
        <v>441</v>
      </c>
      <c r="D33" s="23" t="s">
        <v>263</v>
      </c>
      <c r="E33" s="24" t="s">
        <v>18</v>
      </c>
      <c r="F33" s="24" t="s">
        <v>442</v>
      </c>
      <c r="J33" s="25">
        <v>0.47916666666666702</v>
      </c>
      <c r="K33" s="26">
        <v>46478</v>
      </c>
    </row>
    <row r="34" spans="1:11" x14ac:dyDescent="0.25">
      <c r="A34" s="23" t="s">
        <v>54</v>
      </c>
      <c r="B34" s="23" t="s">
        <v>88</v>
      </c>
      <c r="C34" s="24" t="s">
        <v>441</v>
      </c>
      <c r="D34" s="23" t="s">
        <v>264</v>
      </c>
      <c r="E34" s="24" t="s">
        <v>18</v>
      </c>
      <c r="F34" s="24" t="s">
        <v>443</v>
      </c>
      <c r="J34" s="25">
        <v>0.48958333333333298</v>
      </c>
      <c r="K34" s="26">
        <v>46508</v>
      </c>
    </row>
    <row r="35" spans="1:11" x14ac:dyDescent="0.25">
      <c r="A35" s="23" t="s">
        <v>55</v>
      </c>
      <c r="B35" s="23" t="s">
        <v>88</v>
      </c>
      <c r="C35" s="24" t="s">
        <v>89</v>
      </c>
      <c r="D35" s="23"/>
      <c r="E35" s="24"/>
      <c r="F35" s="24"/>
      <c r="J35" s="25">
        <v>0.5</v>
      </c>
      <c r="K35" s="26">
        <v>46539</v>
      </c>
    </row>
    <row r="36" spans="1:11" x14ac:dyDescent="0.25">
      <c r="A36" s="23" t="s">
        <v>56</v>
      </c>
      <c r="B36" s="23" t="s">
        <v>88</v>
      </c>
      <c r="C36" s="24" t="s">
        <v>89</v>
      </c>
      <c r="D36" s="23"/>
      <c r="E36" s="24"/>
      <c r="F36" s="24"/>
      <c r="J36" s="25">
        <v>0.51041666666666696</v>
      </c>
      <c r="K36" s="26">
        <v>46569</v>
      </c>
    </row>
    <row r="37" spans="1:11" x14ac:dyDescent="0.25">
      <c r="A37" s="23" t="s">
        <v>57</v>
      </c>
      <c r="B37" s="23" t="s">
        <v>88</v>
      </c>
      <c r="C37" s="24" t="s">
        <v>441</v>
      </c>
      <c r="D37" s="23" t="s">
        <v>267</v>
      </c>
      <c r="E37" s="24" t="s">
        <v>19</v>
      </c>
      <c r="F37" s="24" t="s">
        <v>442</v>
      </c>
      <c r="J37" s="25">
        <v>0.52083333333333304</v>
      </c>
      <c r="K37" s="26">
        <v>46600</v>
      </c>
    </row>
    <row r="38" spans="1:11" x14ac:dyDescent="0.25">
      <c r="A38" s="23" t="s">
        <v>58</v>
      </c>
      <c r="B38" s="23" t="s">
        <v>88</v>
      </c>
      <c r="C38" s="24" t="s">
        <v>441</v>
      </c>
      <c r="D38" s="23" t="s">
        <v>268</v>
      </c>
      <c r="E38" s="24" t="s">
        <v>18</v>
      </c>
      <c r="F38" s="24" t="s">
        <v>442</v>
      </c>
      <c r="J38" s="25">
        <v>0.53125</v>
      </c>
    </row>
    <row r="39" spans="1:11" x14ac:dyDescent="0.25">
      <c r="A39" s="23" t="s">
        <v>59</v>
      </c>
      <c r="B39" s="23" t="s">
        <v>88</v>
      </c>
      <c r="C39" s="24" t="s">
        <v>89</v>
      </c>
      <c r="D39" s="23"/>
      <c r="E39" s="24"/>
      <c r="F39" s="24"/>
      <c r="J39" s="25">
        <v>0.54166666666666696</v>
      </c>
    </row>
    <row r="40" spans="1:11" x14ac:dyDescent="0.25">
      <c r="A40" s="23" t="s">
        <v>69</v>
      </c>
      <c r="B40" s="23" t="s">
        <v>92</v>
      </c>
      <c r="C40" s="24" t="s">
        <v>89</v>
      </c>
      <c r="D40" s="23"/>
      <c r="E40" s="24"/>
      <c r="F40" s="24"/>
      <c r="J40" s="25">
        <v>0.55208333333333304</v>
      </c>
    </row>
    <row r="41" spans="1:11" x14ac:dyDescent="0.25">
      <c r="A41" s="23" t="s">
        <v>70</v>
      </c>
      <c r="B41" s="23" t="s">
        <v>92</v>
      </c>
      <c r="C41" s="24" t="s">
        <v>89</v>
      </c>
      <c r="D41" s="23"/>
      <c r="E41" s="24"/>
      <c r="F41" s="24"/>
      <c r="J41" s="25">
        <v>0.5625</v>
      </c>
    </row>
    <row r="42" spans="1:11" x14ac:dyDescent="0.25">
      <c r="J42" s="25">
        <v>0.57291666666666696</v>
      </c>
    </row>
    <row r="43" spans="1:11" x14ac:dyDescent="0.25">
      <c r="J43" s="25">
        <v>0.58333333333333304</v>
      </c>
    </row>
    <row r="44" spans="1:11" ht="21.75" customHeight="1" x14ac:dyDescent="0.25">
      <c r="A44" s="67" t="s">
        <v>93</v>
      </c>
      <c r="B44" s="67"/>
      <c r="C44" s="67"/>
      <c r="D44" s="67"/>
      <c r="E44" s="67"/>
      <c r="F44" s="67"/>
      <c r="G44" s="67"/>
      <c r="H44" s="67"/>
      <c r="J44" s="25">
        <v>0.59375</v>
      </c>
    </row>
    <row r="45" spans="1:11" x14ac:dyDescent="0.25">
      <c r="J45" s="25">
        <v>0.60416666666666696</v>
      </c>
    </row>
    <row r="46" spans="1:11" x14ac:dyDescent="0.25">
      <c r="A46" s="22" t="s">
        <v>94</v>
      </c>
      <c r="B46" s="22" t="s">
        <v>95</v>
      </c>
      <c r="C46" s="22" t="s">
        <v>96</v>
      </c>
      <c r="D46" s="22" t="s">
        <v>33</v>
      </c>
      <c r="E46" s="22" t="s">
        <v>84</v>
      </c>
      <c r="F46" s="22" t="s">
        <v>97</v>
      </c>
      <c r="G46" s="22" t="s">
        <v>15</v>
      </c>
      <c r="H46" s="22" t="s">
        <v>98</v>
      </c>
      <c r="J46" s="25">
        <v>0.61458333333333304</v>
      </c>
    </row>
    <row r="47" spans="1:11" ht="51" x14ac:dyDescent="0.25">
      <c r="A47" s="24" t="s">
        <v>75</v>
      </c>
      <c r="B47" s="24" t="s">
        <v>99</v>
      </c>
      <c r="C47" s="24" t="s">
        <v>100</v>
      </c>
      <c r="D47" s="24" t="s">
        <v>45</v>
      </c>
      <c r="E47" s="24" t="s">
        <v>88</v>
      </c>
      <c r="F47" s="27" t="s">
        <v>101</v>
      </c>
      <c r="G47" s="24" t="s">
        <v>18</v>
      </c>
      <c r="H47" s="24" t="str">
        <f ca="1">IF(OR(P4="",Q4=""),"Unknown (missing duration data)",IF(TODAY()&gt;Q4,"Completed",IF(TODAY()&lt;P4,"Upcoming","Ongoing")))</f>
        <v>Unknown (missing duration data)</v>
      </c>
      <c r="J47" s="25">
        <v>0.625</v>
      </c>
    </row>
    <row r="48" spans="1:11" ht="51" x14ac:dyDescent="0.25">
      <c r="A48" s="24" t="s">
        <v>75</v>
      </c>
      <c r="B48" s="24" t="s">
        <v>99</v>
      </c>
      <c r="C48" s="24" t="s">
        <v>100</v>
      </c>
      <c r="D48" s="24" t="s">
        <v>52</v>
      </c>
      <c r="E48" s="24" t="s">
        <v>88</v>
      </c>
      <c r="F48" s="27" t="s">
        <v>102</v>
      </c>
      <c r="G48" s="24" t="s">
        <v>18</v>
      </c>
      <c r="H48" s="24" t="str">
        <f ca="1">IF(OR(P3="",Q3=""),"Unknown (missing duration data)",IF(TODAY()&gt;Q3,"Completed",IF(TODAY()&lt;P3,"Upcoming","Ongoing")))</f>
        <v>Unknown (missing duration data)</v>
      </c>
      <c r="J48" s="25">
        <v>0.63541666666666696</v>
      </c>
    </row>
    <row r="49" spans="1:10" ht="51" x14ac:dyDescent="0.25">
      <c r="A49" s="24" t="s">
        <v>75</v>
      </c>
      <c r="B49" s="24" t="s">
        <v>103</v>
      </c>
      <c r="C49" s="24" t="s">
        <v>104</v>
      </c>
      <c r="D49" s="24" t="s">
        <v>36</v>
      </c>
      <c r="E49" s="24" t="s">
        <v>88</v>
      </c>
      <c r="F49" s="27" t="s">
        <v>105</v>
      </c>
      <c r="G49" s="24" t="s">
        <v>18</v>
      </c>
      <c r="H49" s="24" t="str">
        <f ca="1">IF(OR(P10="",Q10=""),"Unknown (missing duration data)",IF(TODAY()&gt;Q10,"Completed",IF(TODAY()&lt;P10,"Upcoming","Ongoing")))</f>
        <v>Unknown (missing duration data)</v>
      </c>
      <c r="J49" s="25">
        <v>0.64583333333333304</v>
      </c>
    </row>
    <row r="50" spans="1:10" ht="51" x14ac:dyDescent="0.25">
      <c r="A50" s="24" t="s">
        <v>75</v>
      </c>
      <c r="B50" s="24" t="s">
        <v>103</v>
      </c>
      <c r="C50" s="24" t="s">
        <v>104</v>
      </c>
      <c r="D50" s="24" t="s">
        <v>37</v>
      </c>
      <c r="E50" s="24" t="s">
        <v>88</v>
      </c>
      <c r="F50" s="27" t="s">
        <v>106</v>
      </c>
      <c r="G50" s="24" t="s">
        <v>18</v>
      </c>
      <c r="H50" s="24" t="str">
        <f ca="1">IF(OR(P11="",Q11=""),"Unknown (missing duration data)",IF(TODAY()&gt;Q11,"Completed",IF(TODAY()&lt;P11,"Upcoming","Ongoing")))</f>
        <v>Unknown (missing duration data)</v>
      </c>
      <c r="J50" s="25">
        <v>0.65625</v>
      </c>
    </row>
    <row r="51" spans="1:10" ht="51" x14ac:dyDescent="0.25">
      <c r="A51" s="24" t="s">
        <v>75</v>
      </c>
      <c r="B51" s="24" t="s">
        <v>103</v>
      </c>
      <c r="C51" s="24" t="s">
        <v>104</v>
      </c>
      <c r="D51" s="24" t="s">
        <v>44</v>
      </c>
      <c r="E51" s="24" t="s">
        <v>88</v>
      </c>
      <c r="F51" s="27" t="s">
        <v>107</v>
      </c>
      <c r="G51" s="24" t="s">
        <v>18</v>
      </c>
      <c r="H51" s="24" t="str">
        <f ca="1">IF(OR(P7="",Q7=""),"Unknown (missing duration data)",IF(TODAY()&gt;Q7,"Completed",IF(TODAY()&lt;P7,"Upcoming","Ongoing")))</f>
        <v>Unknown (missing duration data)</v>
      </c>
      <c r="J51" s="25">
        <v>0.66666666666666696</v>
      </c>
    </row>
    <row r="52" spans="1:10" ht="51" x14ac:dyDescent="0.25">
      <c r="A52" s="24" t="s">
        <v>75</v>
      </c>
      <c r="B52" s="24" t="s">
        <v>103</v>
      </c>
      <c r="C52" s="24" t="s">
        <v>104</v>
      </c>
      <c r="D52" s="24" t="s">
        <v>46</v>
      </c>
      <c r="E52" s="24" t="s">
        <v>88</v>
      </c>
      <c r="F52" s="27" t="s">
        <v>108</v>
      </c>
      <c r="G52" s="24" t="s">
        <v>18</v>
      </c>
      <c r="H52" s="24" t="str">
        <f ca="1">IF(OR(P8="",Q8=""),"Unknown (missing duration data)",IF(TODAY()&gt;Q8,"Completed",IF(TODAY()&lt;P8,"Upcoming","Ongoing")))</f>
        <v>Unknown (missing duration data)</v>
      </c>
      <c r="J52" s="25">
        <v>0.67708333333333304</v>
      </c>
    </row>
    <row r="53" spans="1:10" ht="51" x14ac:dyDescent="0.25">
      <c r="A53" s="24" t="s">
        <v>75</v>
      </c>
      <c r="B53" s="24" t="s">
        <v>103</v>
      </c>
      <c r="C53" s="24" t="s">
        <v>104</v>
      </c>
      <c r="D53" s="24" t="s">
        <v>47</v>
      </c>
      <c r="E53" s="24" t="s">
        <v>88</v>
      </c>
      <c r="F53" s="27" t="s">
        <v>109</v>
      </c>
      <c r="G53" s="24" t="s">
        <v>18</v>
      </c>
      <c r="H53" s="24" t="str">
        <f ca="1">IF(OR(P9="",Q9=""),"Unknown (missing duration data)",IF(TODAY()&gt;Q9,"Completed",IF(TODAY()&lt;P9,"Upcoming","Ongoing")))</f>
        <v>Unknown (missing duration data)</v>
      </c>
      <c r="J53" s="25">
        <v>0.6875</v>
      </c>
    </row>
    <row r="54" spans="1:10" ht="51" x14ac:dyDescent="0.25">
      <c r="A54" s="24" t="s">
        <v>75</v>
      </c>
      <c r="B54" s="24" t="s">
        <v>103</v>
      </c>
      <c r="C54" s="24" t="s">
        <v>104</v>
      </c>
      <c r="D54" s="24" t="s">
        <v>50</v>
      </c>
      <c r="E54" s="24" t="s">
        <v>88</v>
      </c>
      <c r="F54" s="27" t="s">
        <v>110</v>
      </c>
      <c r="G54" s="24" t="s">
        <v>18</v>
      </c>
      <c r="H54" s="24" t="str">
        <f ca="1">IF(OR(P5="",Q5=""),"Unknown (missing duration data)",IF(TODAY()&gt;Q5,"Completed",IF(TODAY()&lt;P5,"Upcoming","Ongoing")))</f>
        <v>Unknown (missing duration data)</v>
      </c>
      <c r="J54" s="25">
        <v>0.69791666666666696</v>
      </c>
    </row>
    <row r="55" spans="1:10" ht="51" x14ac:dyDescent="0.25">
      <c r="A55" s="24" t="s">
        <v>75</v>
      </c>
      <c r="B55" s="24" t="s">
        <v>103</v>
      </c>
      <c r="C55" s="24" t="s">
        <v>111</v>
      </c>
      <c r="D55" s="24" t="s">
        <v>51</v>
      </c>
      <c r="E55" s="24" t="s">
        <v>88</v>
      </c>
      <c r="F55" s="27" t="s">
        <v>112</v>
      </c>
      <c r="G55" s="24" t="s">
        <v>18</v>
      </c>
      <c r="H55" s="24" t="str">
        <f ca="1">IF(OR(P6="",Q6=""),"Unknown (missing duration data)",IF(TODAY()&gt;Q6,"Completed",IF(TODAY()&lt;P6,"Upcoming","Ongoing")))</f>
        <v>Unknown (missing duration data)</v>
      </c>
      <c r="J55" s="25">
        <v>0.70833333333333304</v>
      </c>
    </row>
    <row r="56" spans="1:10" ht="51" x14ac:dyDescent="0.25">
      <c r="A56" s="24" t="s">
        <v>75</v>
      </c>
      <c r="B56" s="24" t="s">
        <v>104</v>
      </c>
      <c r="C56" s="24" t="s">
        <v>113</v>
      </c>
      <c r="D56" s="24" t="s">
        <v>44</v>
      </c>
      <c r="E56" s="24" t="s">
        <v>88</v>
      </c>
      <c r="F56" s="27" t="s">
        <v>114</v>
      </c>
      <c r="G56" s="24" t="s">
        <v>18</v>
      </c>
      <c r="H56" s="24" t="str">
        <f ca="1">IF(OR(P13="",Q13=""),"Unknown (missing duration data)",IF(TODAY()&gt;Q13,"Completed",IF(TODAY()&lt;P13,"Upcoming","Ongoing")))</f>
        <v>Unknown (missing duration data)</v>
      </c>
      <c r="J56" s="25">
        <v>0.71875</v>
      </c>
    </row>
    <row r="57" spans="1:10" ht="51" x14ac:dyDescent="0.25">
      <c r="A57" s="24" t="s">
        <v>75</v>
      </c>
      <c r="B57" s="24" t="s">
        <v>104</v>
      </c>
      <c r="C57" s="24" t="s">
        <v>111</v>
      </c>
      <c r="D57" s="24" t="s">
        <v>52</v>
      </c>
      <c r="E57" s="24" t="s">
        <v>88</v>
      </c>
      <c r="F57" s="27" t="s">
        <v>115</v>
      </c>
      <c r="G57" s="24" t="s">
        <v>18</v>
      </c>
      <c r="H57" s="24" t="str">
        <f ca="1">IF(OR(P12="",Q12=""),"Unknown (missing duration data)",IF(TODAY()&gt;Q12,"Completed",IF(TODAY()&lt;P12,"Upcoming","Ongoing")))</f>
        <v>Unknown (missing duration data)</v>
      </c>
      <c r="J57" s="25">
        <v>0.72916666666666696</v>
      </c>
    </row>
    <row r="58" spans="1:10" ht="51" x14ac:dyDescent="0.25">
      <c r="A58" s="24" t="s">
        <v>75</v>
      </c>
      <c r="B58" s="24" t="s">
        <v>116</v>
      </c>
      <c r="C58" s="24" t="s">
        <v>111</v>
      </c>
      <c r="D58" s="24" t="s">
        <v>36</v>
      </c>
      <c r="E58" s="24" t="s">
        <v>88</v>
      </c>
      <c r="F58" s="27" t="s">
        <v>117</v>
      </c>
      <c r="G58" s="24" t="s">
        <v>18</v>
      </c>
      <c r="H58" s="24" t="str">
        <f ca="1">IF(OR(P21="",Q21=""),"Unknown (missing duration data)",IF(TODAY()&gt;Q21,"Completed",IF(TODAY()&lt;P21,"Upcoming","Ongoing")))</f>
        <v>Unknown (missing duration data)</v>
      </c>
      <c r="J58" s="25">
        <v>0.73958333333333304</v>
      </c>
    </row>
    <row r="59" spans="1:10" ht="51" x14ac:dyDescent="0.25">
      <c r="A59" s="24" t="s">
        <v>75</v>
      </c>
      <c r="B59" s="24" t="s">
        <v>116</v>
      </c>
      <c r="C59" s="24" t="s">
        <v>111</v>
      </c>
      <c r="D59" s="24" t="s">
        <v>37</v>
      </c>
      <c r="E59" s="24" t="s">
        <v>88</v>
      </c>
      <c r="F59" s="27" t="s">
        <v>118</v>
      </c>
      <c r="G59" s="24" t="s">
        <v>18</v>
      </c>
      <c r="H59" s="24" t="str">
        <f ca="1">IF(OR(P22="",Q22=""),"Unknown (missing duration data)",IF(TODAY()&gt;Q22,"Completed",IF(TODAY()&lt;P22,"Upcoming","Ongoing")))</f>
        <v>Unknown (missing duration data)</v>
      </c>
      <c r="J59" s="25">
        <v>0.75</v>
      </c>
    </row>
    <row r="60" spans="1:10" ht="51" x14ac:dyDescent="0.25">
      <c r="A60" s="24" t="s">
        <v>75</v>
      </c>
      <c r="B60" s="24" t="s">
        <v>116</v>
      </c>
      <c r="C60" s="24" t="s">
        <v>111</v>
      </c>
      <c r="D60" s="24" t="s">
        <v>45</v>
      </c>
      <c r="E60" s="24" t="s">
        <v>88</v>
      </c>
      <c r="F60" s="27" t="s">
        <v>119</v>
      </c>
      <c r="G60" s="24" t="s">
        <v>18</v>
      </c>
      <c r="H60" s="24" t="str">
        <f ca="1">IF(OR(P20="",Q20=""),"Unknown (missing duration data)",IF(TODAY()&gt;Q20,"Completed",IF(TODAY()&lt;P20,"Upcoming","Ongoing")))</f>
        <v>Unknown (missing duration data)</v>
      </c>
      <c r="J60" s="25">
        <v>0.76041666666666696</v>
      </c>
    </row>
    <row r="61" spans="1:10" ht="51" x14ac:dyDescent="0.25">
      <c r="A61" s="24" t="s">
        <v>75</v>
      </c>
      <c r="B61" s="24" t="s">
        <v>116</v>
      </c>
      <c r="C61" s="24" t="s">
        <v>111</v>
      </c>
      <c r="D61" s="24" t="s">
        <v>48</v>
      </c>
      <c r="E61" s="24" t="s">
        <v>88</v>
      </c>
      <c r="F61" s="27" t="s">
        <v>120</v>
      </c>
      <c r="G61" s="24" t="s">
        <v>18</v>
      </c>
      <c r="H61" s="24" t="str">
        <f ca="1">IF(OR(P17="",Q17=""),"Unknown (missing duration data)",IF(TODAY()&gt;Q17,"Completed",IF(TODAY()&lt;P17,"Upcoming","Ongoing")))</f>
        <v>Unknown (missing duration data)</v>
      </c>
      <c r="J61" s="25">
        <v>0.77083333333333304</v>
      </c>
    </row>
    <row r="62" spans="1:10" ht="51" x14ac:dyDescent="0.25">
      <c r="A62" s="24" t="s">
        <v>75</v>
      </c>
      <c r="B62" s="24" t="s">
        <v>116</v>
      </c>
      <c r="C62" s="24" t="s">
        <v>111</v>
      </c>
      <c r="D62" s="24" t="s">
        <v>49</v>
      </c>
      <c r="E62" s="24" t="s">
        <v>88</v>
      </c>
      <c r="F62" s="27" t="s">
        <v>121</v>
      </c>
      <c r="G62" s="24" t="s">
        <v>18</v>
      </c>
      <c r="H62" s="24" t="str">
        <f ca="1">IF(OR(P18="",Q18=""),"Unknown (missing duration data)",IF(TODAY()&gt;Q18,"Completed",IF(TODAY()&lt;P18,"Upcoming","Ongoing")))</f>
        <v>Unknown (missing duration data)</v>
      </c>
      <c r="J62" s="25">
        <v>0.78125</v>
      </c>
    </row>
    <row r="63" spans="1:10" ht="51" x14ac:dyDescent="0.25">
      <c r="A63" s="24" t="s">
        <v>75</v>
      </c>
      <c r="B63" s="24" t="s">
        <v>116</v>
      </c>
      <c r="C63" s="24" t="s">
        <v>111</v>
      </c>
      <c r="D63" s="24" t="s">
        <v>50</v>
      </c>
      <c r="E63" s="24" t="s">
        <v>88</v>
      </c>
      <c r="F63" s="27" t="s">
        <v>122</v>
      </c>
      <c r="G63" s="24" t="s">
        <v>18</v>
      </c>
      <c r="H63" s="24" t="str">
        <f ca="1">IF(OR(P19="",Q19=""),"Unknown (missing duration data)",IF(TODAY()&gt;Q19,"Completed",IF(TODAY()&lt;P19,"Upcoming","Ongoing")))</f>
        <v>Unknown (missing duration data)</v>
      </c>
      <c r="J63" s="25">
        <v>0.79166666666666696</v>
      </c>
    </row>
    <row r="64" spans="1:10" ht="51" x14ac:dyDescent="0.25">
      <c r="A64" s="24" t="s">
        <v>75</v>
      </c>
      <c r="B64" s="24" t="s">
        <v>116</v>
      </c>
      <c r="C64" s="24" t="s">
        <v>111</v>
      </c>
      <c r="D64" s="24" t="s">
        <v>53</v>
      </c>
      <c r="E64" s="24" t="s">
        <v>88</v>
      </c>
      <c r="F64" s="27" t="s">
        <v>123</v>
      </c>
      <c r="G64" s="24" t="s">
        <v>18</v>
      </c>
      <c r="H64" s="24" t="str">
        <f ca="1">IF(OR(P14="",Q14=""),"Unknown (missing duration data)",IF(TODAY()&gt;Q14,"Completed",IF(TODAY()&lt;P14,"Upcoming","Ongoing")))</f>
        <v>Unknown (missing duration data)</v>
      </c>
      <c r="J64" s="25">
        <v>0.80208333333333304</v>
      </c>
    </row>
    <row r="65" spans="1:10" ht="51" x14ac:dyDescent="0.25">
      <c r="A65" s="24" t="s">
        <v>75</v>
      </c>
      <c r="B65" s="24" t="s">
        <v>116</v>
      </c>
      <c r="C65" s="24" t="s">
        <v>111</v>
      </c>
      <c r="D65" s="24" t="s">
        <v>54</v>
      </c>
      <c r="E65" s="24" t="s">
        <v>88</v>
      </c>
      <c r="F65" s="27" t="s">
        <v>124</v>
      </c>
      <c r="G65" s="24" t="s">
        <v>18</v>
      </c>
      <c r="H65" s="24" t="str">
        <f ca="1">IF(OR(P15="",Q15=""),"Unknown (missing duration data)",IF(TODAY()&gt;Q15,"Completed",IF(TODAY()&lt;P15,"Upcoming","Ongoing")))</f>
        <v>Unknown (missing duration data)</v>
      </c>
      <c r="J65" s="25">
        <v>0.8125</v>
      </c>
    </row>
    <row r="66" spans="1:10" ht="51" x14ac:dyDescent="0.25">
      <c r="A66" s="24" t="s">
        <v>75</v>
      </c>
      <c r="B66" s="24" t="s">
        <v>116</v>
      </c>
      <c r="C66" s="24" t="s">
        <v>111</v>
      </c>
      <c r="D66" s="24" t="s">
        <v>56</v>
      </c>
      <c r="E66" s="24" t="s">
        <v>88</v>
      </c>
      <c r="F66" s="27" t="s">
        <v>125</v>
      </c>
      <c r="G66" s="24" t="s">
        <v>18</v>
      </c>
      <c r="H66" s="24" t="str">
        <f ca="1">IF(OR(P16="",Q16=""),"Unknown (missing duration data)",IF(TODAY()&gt;Q16,"Completed",IF(TODAY()&lt;P16,"Upcoming","Ongoing")))</f>
        <v>Unknown (missing duration data)</v>
      </c>
      <c r="J66" s="25">
        <v>0.82291666666666696</v>
      </c>
    </row>
    <row r="67" spans="1:10" ht="51" x14ac:dyDescent="0.25">
      <c r="A67" s="24" t="s">
        <v>126</v>
      </c>
      <c r="B67" s="24" t="s">
        <v>99</v>
      </c>
      <c r="C67" s="24" t="s">
        <v>100</v>
      </c>
      <c r="D67" s="24" t="s">
        <v>35</v>
      </c>
      <c r="E67" s="24" t="s">
        <v>88</v>
      </c>
      <c r="F67" s="27" t="s">
        <v>127</v>
      </c>
      <c r="G67" s="24" t="s">
        <v>19</v>
      </c>
      <c r="H67" s="24" t="str">
        <f ca="1">IF(OR(P25="",Q25=""),"Unknown (missing duration data)",IF(TODAY()&gt;Q25,"Completed",IF(TODAY()&lt;P25,"Upcoming","Ongoing")))</f>
        <v>Unknown (missing duration data)</v>
      </c>
      <c r="J67" s="25">
        <v>0.83333333333333304</v>
      </c>
    </row>
    <row r="68" spans="1:10" ht="51" x14ac:dyDescent="0.25">
      <c r="A68" s="24" t="s">
        <v>126</v>
      </c>
      <c r="B68" s="24" t="s">
        <v>99</v>
      </c>
      <c r="C68" s="24" t="s">
        <v>100</v>
      </c>
      <c r="D68" s="24" t="s">
        <v>45</v>
      </c>
      <c r="E68" s="24" t="s">
        <v>88</v>
      </c>
      <c r="F68" s="27" t="s">
        <v>128</v>
      </c>
      <c r="G68" s="24" t="s">
        <v>18</v>
      </c>
      <c r="H68" s="24" t="str">
        <f ca="1">IF(OR(P24="",Q24=""),"Unknown (missing duration data)",IF(TODAY()&gt;Q24,"Completed",IF(TODAY()&lt;P24,"Upcoming","Ongoing")))</f>
        <v>Unknown (missing duration data)</v>
      </c>
      <c r="J68" s="25">
        <v>0.84375</v>
      </c>
    </row>
    <row r="69" spans="1:10" ht="51" x14ac:dyDescent="0.25">
      <c r="A69" s="24" t="s">
        <v>126</v>
      </c>
      <c r="B69" s="24" t="s">
        <v>99</v>
      </c>
      <c r="C69" s="24" t="s">
        <v>100</v>
      </c>
      <c r="D69" s="24" t="s">
        <v>55</v>
      </c>
      <c r="E69" s="24" t="s">
        <v>88</v>
      </c>
      <c r="F69" s="27" t="s">
        <v>129</v>
      </c>
      <c r="G69" s="24" t="s">
        <v>19</v>
      </c>
      <c r="H69" s="24" t="str">
        <f ca="1">IF(OR(P23="",Q23=""),"Unknown (missing duration data)",IF(TODAY()&gt;Q23,"Completed",IF(TODAY()&lt;P23,"Upcoming","Ongoing")))</f>
        <v>Unknown (missing duration data)</v>
      </c>
      <c r="J69" s="25">
        <v>0.85416666666666696</v>
      </c>
    </row>
    <row r="70" spans="1:10" ht="51" x14ac:dyDescent="0.25">
      <c r="A70" s="24" t="s">
        <v>126</v>
      </c>
      <c r="B70" s="24" t="s">
        <v>103</v>
      </c>
      <c r="C70" s="24" t="s">
        <v>111</v>
      </c>
      <c r="D70" s="24" t="s">
        <v>46</v>
      </c>
      <c r="E70" s="24" t="s">
        <v>88</v>
      </c>
      <c r="F70" s="27" t="s">
        <v>130</v>
      </c>
      <c r="G70" s="24" t="s">
        <v>18</v>
      </c>
      <c r="H70" s="24" t="str">
        <f ca="1">IF(OR(P30="",Q30=""),"Unknown (missing duration data)",IF(TODAY()&gt;Q30,"Completed",IF(TODAY()&lt;P30,"Upcoming","Ongoing")))</f>
        <v>Unknown (missing duration data)</v>
      </c>
      <c r="J70" s="25">
        <v>0.86458333333333304</v>
      </c>
    </row>
    <row r="71" spans="1:10" ht="51" x14ac:dyDescent="0.25">
      <c r="A71" s="24" t="s">
        <v>126</v>
      </c>
      <c r="B71" s="24" t="s">
        <v>103</v>
      </c>
      <c r="C71" s="24" t="s">
        <v>104</v>
      </c>
      <c r="D71" s="24" t="s">
        <v>47</v>
      </c>
      <c r="E71" s="24" t="s">
        <v>88</v>
      </c>
      <c r="F71" s="27" t="s">
        <v>131</v>
      </c>
      <c r="G71" s="24" t="s">
        <v>18</v>
      </c>
      <c r="H71" s="24" t="str">
        <f ca="1">IF(OR(P31="",Q31=""),"Unknown (missing duration data)",IF(TODAY()&gt;Q31,"Completed",IF(TODAY()&lt;P31,"Upcoming","Ongoing")))</f>
        <v>Unknown (missing duration data)</v>
      </c>
      <c r="J71" s="25">
        <v>0.875</v>
      </c>
    </row>
    <row r="72" spans="1:10" ht="51" x14ac:dyDescent="0.25">
      <c r="A72" s="24" t="s">
        <v>126</v>
      </c>
      <c r="B72" s="24" t="s">
        <v>103</v>
      </c>
      <c r="C72" s="24" t="s">
        <v>104</v>
      </c>
      <c r="D72" s="24" t="s">
        <v>48</v>
      </c>
      <c r="E72" s="24" t="s">
        <v>88</v>
      </c>
      <c r="F72" s="27" t="s">
        <v>132</v>
      </c>
      <c r="G72" s="24" t="s">
        <v>18</v>
      </c>
      <c r="H72" s="24" t="str">
        <f ca="1">IF(OR(P28="",Q28=""),"Unknown (missing duration data)",IF(TODAY()&gt;Q28,"Completed",IF(TODAY()&lt;P28,"Upcoming","Ongoing")))</f>
        <v>Unknown (missing duration data)</v>
      </c>
    </row>
    <row r="73" spans="1:10" ht="51" x14ac:dyDescent="0.25">
      <c r="A73" s="24" t="s">
        <v>126</v>
      </c>
      <c r="B73" s="24" t="s">
        <v>103</v>
      </c>
      <c r="C73" s="24" t="s">
        <v>104</v>
      </c>
      <c r="D73" s="24" t="s">
        <v>49</v>
      </c>
      <c r="E73" s="24" t="s">
        <v>88</v>
      </c>
      <c r="F73" s="27" t="s">
        <v>133</v>
      </c>
      <c r="G73" s="24" t="s">
        <v>18</v>
      </c>
      <c r="H73" s="24" t="str">
        <f ca="1">IF(OR(P29="",Q29=""),"Unknown (missing duration data)",IF(TODAY()&gt;Q29,"Completed",IF(TODAY()&lt;P29,"Upcoming","Ongoing")))</f>
        <v>Unknown (missing duration data)</v>
      </c>
    </row>
    <row r="74" spans="1:10" ht="51" x14ac:dyDescent="0.25">
      <c r="A74" s="24" t="s">
        <v>126</v>
      </c>
      <c r="B74" s="24" t="s">
        <v>103</v>
      </c>
      <c r="C74" s="24" t="s">
        <v>104</v>
      </c>
      <c r="D74" s="24" t="s">
        <v>53</v>
      </c>
      <c r="E74" s="24" t="s">
        <v>88</v>
      </c>
      <c r="F74" s="27" t="s">
        <v>134</v>
      </c>
      <c r="G74" s="24" t="s">
        <v>18</v>
      </c>
      <c r="H74" s="24" t="str">
        <f ca="1">IF(OR(P26="",Q26=""),"Unknown (missing duration data)",IF(TODAY()&gt;Q26,"Completed",IF(TODAY()&lt;P26,"Upcoming","Ongoing")))</f>
        <v>Unknown (missing duration data)</v>
      </c>
    </row>
    <row r="75" spans="1:10" ht="51" x14ac:dyDescent="0.25">
      <c r="A75" s="24" t="s">
        <v>126</v>
      </c>
      <c r="B75" s="24" t="s">
        <v>103</v>
      </c>
      <c r="C75" s="24" t="s">
        <v>104</v>
      </c>
      <c r="D75" s="24" t="s">
        <v>54</v>
      </c>
      <c r="E75" s="24" t="s">
        <v>88</v>
      </c>
      <c r="F75" s="27" t="s">
        <v>135</v>
      </c>
      <c r="G75" s="24" t="s">
        <v>18</v>
      </c>
      <c r="H75" s="24" t="str">
        <f ca="1">IF(OR(P27="",Q27=""),"Unknown (missing duration data)",IF(TODAY()&gt;Q27,"Completed",IF(TODAY()&lt;P27,"Upcoming","Ongoing")))</f>
        <v>Unknown (missing duration data)</v>
      </c>
    </row>
    <row r="76" spans="1:10" ht="51" x14ac:dyDescent="0.25">
      <c r="A76" s="24" t="s">
        <v>126</v>
      </c>
      <c r="B76" s="24" t="s">
        <v>104</v>
      </c>
      <c r="C76" s="24" t="s">
        <v>111</v>
      </c>
      <c r="D76" s="24" t="s">
        <v>36</v>
      </c>
      <c r="E76" s="24" t="s">
        <v>88</v>
      </c>
      <c r="F76" s="27" t="s">
        <v>136</v>
      </c>
      <c r="G76" s="24" t="s">
        <v>18</v>
      </c>
      <c r="H76" s="24" t="str">
        <f ca="1">IF(OR(P32="",Q32=""),"Unknown (missing duration data)",IF(TODAY()&gt;Q32,"Completed",IF(TODAY()&lt;P32,"Upcoming","Ongoing")))</f>
        <v>Unknown (missing duration data)</v>
      </c>
    </row>
    <row r="77" spans="1:10" ht="51" x14ac:dyDescent="0.25">
      <c r="A77" s="24" t="s">
        <v>126</v>
      </c>
      <c r="B77" s="24" t="s">
        <v>116</v>
      </c>
      <c r="C77" s="24" t="s">
        <v>111</v>
      </c>
      <c r="D77" s="24" t="s">
        <v>36</v>
      </c>
      <c r="E77" s="24" t="s">
        <v>88</v>
      </c>
      <c r="F77" s="27" t="s">
        <v>137</v>
      </c>
      <c r="G77" s="24" t="s">
        <v>18</v>
      </c>
      <c r="H77" s="24" t="str">
        <f ca="1">IF(OR(P36="",Q36=""),"Unknown (missing duration data)",IF(TODAY()&gt;Q36,"Completed",IF(TODAY()&lt;P36,"Upcoming","Ongoing")))</f>
        <v>Unknown (missing duration data)</v>
      </c>
    </row>
    <row r="78" spans="1:10" ht="51" x14ac:dyDescent="0.25">
      <c r="A78" s="24" t="s">
        <v>126</v>
      </c>
      <c r="B78" s="24" t="s">
        <v>116</v>
      </c>
      <c r="C78" s="24" t="s">
        <v>111</v>
      </c>
      <c r="D78" s="24" t="s">
        <v>37</v>
      </c>
      <c r="E78" s="24" t="s">
        <v>88</v>
      </c>
      <c r="F78" s="27" t="s">
        <v>138</v>
      </c>
      <c r="G78" s="24" t="s">
        <v>18</v>
      </c>
      <c r="H78" s="24" t="str">
        <f ca="1">IF(OR(P37="",Q37=""),"Unknown (missing duration data)",IF(TODAY()&gt;Q37,"Completed",IF(TODAY()&lt;P37,"Upcoming","Ongoing")))</f>
        <v>Unknown (missing duration data)</v>
      </c>
    </row>
    <row r="79" spans="1:10" ht="51" x14ac:dyDescent="0.25">
      <c r="A79" s="24" t="s">
        <v>126</v>
      </c>
      <c r="B79" s="24" t="s">
        <v>116</v>
      </c>
      <c r="C79" s="24" t="s">
        <v>111</v>
      </c>
      <c r="D79" s="24" t="s">
        <v>48</v>
      </c>
      <c r="E79" s="24" t="s">
        <v>88</v>
      </c>
      <c r="F79" s="27" t="s">
        <v>139</v>
      </c>
      <c r="G79" s="24" t="s">
        <v>19</v>
      </c>
      <c r="H79" s="24" t="str">
        <f ca="1">IF(OR(P34="",Q34=""),"Unknown (missing duration data)",IF(TODAY()&gt;Q34,"Completed",IF(TODAY()&lt;P34,"Upcoming","Ongoing")))</f>
        <v>Unknown (missing duration data)</v>
      </c>
    </row>
    <row r="80" spans="1:10" ht="51" x14ac:dyDescent="0.25">
      <c r="A80" s="24" t="s">
        <v>126</v>
      </c>
      <c r="B80" s="24" t="s">
        <v>116</v>
      </c>
      <c r="C80" s="24" t="s">
        <v>111</v>
      </c>
      <c r="D80" s="24" t="s">
        <v>49</v>
      </c>
      <c r="E80" s="24" t="s">
        <v>88</v>
      </c>
      <c r="F80" s="27" t="s">
        <v>140</v>
      </c>
      <c r="G80" s="24" t="s">
        <v>18</v>
      </c>
      <c r="H80" s="24" t="str">
        <f ca="1">IF(OR(P35="",Q35=""),"Unknown (missing duration data)",IF(TODAY()&gt;Q35,"Completed",IF(TODAY()&lt;P35,"Upcoming","Ongoing")))</f>
        <v>Unknown (missing duration data)</v>
      </c>
    </row>
    <row r="81" spans="1:8" ht="51" x14ac:dyDescent="0.25">
      <c r="A81" s="24" t="s">
        <v>126</v>
      </c>
      <c r="B81" s="24" t="s">
        <v>116</v>
      </c>
      <c r="C81" s="24" t="s">
        <v>111</v>
      </c>
      <c r="D81" s="24" t="s">
        <v>53</v>
      </c>
      <c r="E81" s="24" t="s">
        <v>88</v>
      </c>
      <c r="F81" s="27" t="s">
        <v>132</v>
      </c>
      <c r="G81" s="24" t="s">
        <v>18</v>
      </c>
      <c r="H81" s="24" t="str">
        <f ca="1">IF(OR(P33="",Q33=""),"Unknown (missing duration data)",IF(TODAY()&gt;Q33,"Completed",IF(TODAY()&lt;P33,"Upcoming","Ongoing")))</f>
        <v>Unknown (missing duration data)</v>
      </c>
    </row>
    <row r="82" spans="1:8" ht="51" x14ac:dyDescent="0.25">
      <c r="A82" s="24" t="s">
        <v>141</v>
      </c>
      <c r="B82" s="24" t="s">
        <v>103</v>
      </c>
      <c r="C82" s="24" t="s">
        <v>111</v>
      </c>
      <c r="D82" s="24" t="s">
        <v>35</v>
      </c>
      <c r="E82" s="24" t="s">
        <v>88</v>
      </c>
      <c r="F82" s="27" t="s">
        <v>142</v>
      </c>
      <c r="G82" s="24" t="s">
        <v>18</v>
      </c>
      <c r="H82" s="24" t="str">
        <f ca="1">IF(OR(P45="",Q45=""),"Unknown (missing duration data)",IF(TODAY()&gt;Q45,"Completed",IF(TODAY()&lt;P45,"Upcoming","Ongoing")))</f>
        <v>Unknown (missing duration data)</v>
      </c>
    </row>
    <row r="83" spans="1:8" ht="51" x14ac:dyDescent="0.25">
      <c r="A83" s="24" t="s">
        <v>141</v>
      </c>
      <c r="B83" s="24" t="s">
        <v>103</v>
      </c>
      <c r="C83" s="24" t="s">
        <v>104</v>
      </c>
      <c r="D83" s="24" t="s">
        <v>44</v>
      </c>
      <c r="E83" s="24" t="s">
        <v>88</v>
      </c>
      <c r="F83" s="27" t="s">
        <v>143</v>
      </c>
      <c r="G83" s="24" t="s">
        <v>18</v>
      </c>
      <c r="H83" s="24" t="str">
        <f ca="1">IF(OR(P42="",Q42=""),"Unknown (missing duration data)",IF(TODAY()&gt;Q42,"Completed",IF(TODAY()&lt;P42,"Upcoming","Ongoing")))</f>
        <v>Unknown (missing duration data)</v>
      </c>
    </row>
    <row r="84" spans="1:8" ht="51" x14ac:dyDescent="0.25">
      <c r="A84" s="24" t="s">
        <v>141</v>
      </c>
      <c r="B84" s="24" t="s">
        <v>103</v>
      </c>
      <c r="C84" s="24" t="s">
        <v>104</v>
      </c>
      <c r="D84" s="24" t="s">
        <v>45</v>
      </c>
      <c r="E84" s="24" t="s">
        <v>88</v>
      </c>
      <c r="F84" s="27" t="s">
        <v>144</v>
      </c>
      <c r="G84" s="24" t="s">
        <v>18</v>
      </c>
      <c r="H84" s="24" t="str">
        <f ca="1">IF(OR(P43="",Q43=""),"Unknown (missing duration data)",IF(TODAY()&gt;Q43,"Completed",IF(TODAY()&lt;P43,"Upcoming","Ongoing")))</f>
        <v>Unknown (missing duration data)</v>
      </c>
    </row>
    <row r="85" spans="1:8" ht="51" x14ac:dyDescent="0.25">
      <c r="A85" s="24" t="s">
        <v>141</v>
      </c>
      <c r="B85" s="24" t="s">
        <v>103</v>
      </c>
      <c r="C85" s="24" t="s">
        <v>104</v>
      </c>
      <c r="D85" s="24" t="s">
        <v>46</v>
      </c>
      <c r="E85" s="24" t="s">
        <v>88</v>
      </c>
      <c r="F85" s="27" t="s">
        <v>145</v>
      </c>
      <c r="G85" s="24" t="s">
        <v>18</v>
      </c>
      <c r="H85" s="24" t="str">
        <f ca="1">IF(OR(P44="",Q44=""),"Unknown (missing duration data)",IF(TODAY()&gt;Q44,"Completed",IF(TODAY()&lt;P44,"Upcoming","Ongoing")))</f>
        <v>Unknown (missing duration data)</v>
      </c>
    </row>
    <row r="86" spans="1:8" ht="51" x14ac:dyDescent="0.25">
      <c r="A86" s="24" t="s">
        <v>141</v>
      </c>
      <c r="B86" s="24" t="s">
        <v>103</v>
      </c>
      <c r="C86" s="24" t="s">
        <v>104</v>
      </c>
      <c r="D86" s="24" t="s">
        <v>48</v>
      </c>
      <c r="E86" s="24" t="s">
        <v>88</v>
      </c>
      <c r="F86" s="27" t="s">
        <v>146</v>
      </c>
      <c r="G86" s="24" t="s">
        <v>18</v>
      </c>
      <c r="H86" s="24" t="str">
        <f ca="1">IF(OR(P40="",Q40=""),"Unknown (missing duration data)",IF(TODAY()&gt;Q40,"Completed",IF(TODAY()&lt;P40,"Upcoming","Ongoing")))</f>
        <v>Unknown (missing duration data)</v>
      </c>
    </row>
    <row r="87" spans="1:8" ht="51" x14ac:dyDescent="0.25">
      <c r="A87" s="24" t="s">
        <v>141</v>
      </c>
      <c r="B87" s="24" t="s">
        <v>103</v>
      </c>
      <c r="C87" s="24" t="s">
        <v>104</v>
      </c>
      <c r="D87" s="24" t="s">
        <v>51</v>
      </c>
      <c r="E87" s="24" t="s">
        <v>88</v>
      </c>
      <c r="F87" s="27" t="s">
        <v>147</v>
      </c>
      <c r="G87" s="24" t="s">
        <v>18</v>
      </c>
      <c r="H87" s="24" t="str">
        <f ca="1">IF(OR(P41="",Q41=""),"Unknown (missing duration data)",IF(TODAY()&gt;Q41,"Completed",IF(TODAY()&lt;P41,"Upcoming","Ongoing")))</f>
        <v>Unknown (missing duration data)</v>
      </c>
    </row>
    <row r="88" spans="1:8" ht="51" x14ac:dyDescent="0.25">
      <c r="A88" s="24" t="s">
        <v>141</v>
      </c>
      <c r="B88" s="24" t="s">
        <v>103</v>
      </c>
      <c r="C88" s="24" t="s">
        <v>104</v>
      </c>
      <c r="D88" s="24" t="s">
        <v>52</v>
      </c>
      <c r="E88" s="24" t="s">
        <v>88</v>
      </c>
      <c r="F88" s="27" t="s">
        <v>148</v>
      </c>
      <c r="G88" s="24" t="s">
        <v>18</v>
      </c>
      <c r="H88" s="24" t="str">
        <f ca="1">IF(OR(P38="",Q38=""),"Unknown (missing duration data)",IF(TODAY()&gt;Q38,"Completed",IF(TODAY()&lt;P38,"Upcoming","Ongoing")))</f>
        <v>Unknown (missing duration data)</v>
      </c>
    </row>
    <row r="89" spans="1:8" ht="51" x14ac:dyDescent="0.25">
      <c r="A89" s="24" t="s">
        <v>141</v>
      </c>
      <c r="B89" s="24" t="s">
        <v>103</v>
      </c>
      <c r="C89" s="24" t="s">
        <v>104</v>
      </c>
      <c r="D89" s="24" t="s">
        <v>53</v>
      </c>
      <c r="E89" s="24" t="s">
        <v>88</v>
      </c>
      <c r="F89" s="27" t="s">
        <v>149</v>
      </c>
      <c r="G89" s="24" t="s">
        <v>18</v>
      </c>
      <c r="H89" s="24" t="str">
        <f ca="1">IF(OR(P39="",Q39=""),"Unknown (missing duration data)",IF(TODAY()&gt;Q39,"Completed",IF(TODAY()&lt;P39,"Upcoming","Ongoing")))</f>
        <v>Unknown (missing duration data)</v>
      </c>
    </row>
    <row r="90" spans="1:8" ht="51" x14ac:dyDescent="0.25">
      <c r="A90" s="24" t="s">
        <v>141</v>
      </c>
      <c r="B90" s="24" t="s">
        <v>116</v>
      </c>
      <c r="C90" s="24" t="s">
        <v>111</v>
      </c>
      <c r="D90" s="24" t="s">
        <v>36</v>
      </c>
      <c r="E90" s="24" t="s">
        <v>88</v>
      </c>
      <c r="F90" s="27" t="s">
        <v>150</v>
      </c>
      <c r="G90" s="24" t="s">
        <v>18</v>
      </c>
      <c r="H90" s="24" t="str">
        <f ca="1">IF(OR(P51="",Q51=""),"Unknown (missing duration data)",IF(TODAY()&gt;Q51,"Completed",IF(TODAY()&lt;P51,"Upcoming","Ongoing")))</f>
        <v>Unknown (missing duration data)</v>
      </c>
    </row>
    <row r="91" spans="1:8" ht="51" x14ac:dyDescent="0.25">
      <c r="A91" s="24" t="s">
        <v>141</v>
      </c>
      <c r="B91" s="24" t="s">
        <v>116</v>
      </c>
      <c r="C91" s="24" t="s">
        <v>111</v>
      </c>
      <c r="D91" s="24" t="s">
        <v>37</v>
      </c>
      <c r="E91" s="24" t="s">
        <v>88</v>
      </c>
      <c r="F91" s="27" t="s">
        <v>151</v>
      </c>
      <c r="G91" s="24" t="s">
        <v>18</v>
      </c>
      <c r="H91" s="24" t="str">
        <f ca="1">IF(OR(P52="",Q52=""),"Unknown (missing duration data)",IF(TODAY()&gt;Q52,"Completed",IF(TODAY()&lt;P52,"Upcoming","Ongoing")))</f>
        <v>Unknown (missing duration data)</v>
      </c>
    </row>
    <row r="92" spans="1:8" ht="51" x14ac:dyDescent="0.25">
      <c r="A92" s="24" t="s">
        <v>141</v>
      </c>
      <c r="B92" s="24" t="s">
        <v>116</v>
      </c>
      <c r="C92" s="24" t="s">
        <v>111</v>
      </c>
      <c r="D92" s="24" t="s">
        <v>38</v>
      </c>
      <c r="E92" s="24" t="s">
        <v>88</v>
      </c>
      <c r="F92" s="27" t="s">
        <v>152</v>
      </c>
      <c r="G92" s="24" t="s">
        <v>19</v>
      </c>
      <c r="H92" s="24" t="str">
        <f ca="1">IF(OR(P53="",Q53=""),"Unknown (missing duration data)",IF(TODAY()&gt;Q53,"Completed",IF(TODAY()&lt;P53,"Upcoming","Ongoing")))</f>
        <v>Unknown (missing duration data)</v>
      </c>
    </row>
    <row r="93" spans="1:8" ht="51" x14ac:dyDescent="0.25">
      <c r="A93" s="24" t="s">
        <v>141</v>
      </c>
      <c r="B93" s="24" t="s">
        <v>116</v>
      </c>
      <c r="C93" s="24" t="s">
        <v>111</v>
      </c>
      <c r="D93" s="24" t="s">
        <v>39</v>
      </c>
      <c r="E93" s="24" t="s">
        <v>88</v>
      </c>
      <c r="F93" s="27" t="s">
        <v>153</v>
      </c>
      <c r="G93" s="24" t="s">
        <v>18</v>
      </c>
      <c r="H93" s="24" t="str">
        <f ca="1">IF(OR(P54="",Q54=""),"Unknown (missing duration data)",IF(TODAY()&gt;Q54,"Completed",IF(TODAY()&lt;P54,"Upcoming","Ongoing")))</f>
        <v>Unknown (missing duration data)</v>
      </c>
    </row>
    <row r="94" spans="1:8" ht="51" x14ac:dyDescent="0.25">
      <c r="A94" s="24" t="s">
        <v>141</v>
      </c>
      <c r="B94" s="24" t="s">
        <v>116</v>
      </c>
      <c r="C94" s="24" t="s">
        <v>111</v>
      </c>
      <c r="D94" s="24" t="s">
        <v>44</v>
      </c>
      <c r="E94" s="24" t="s">
        <v>88</v>
      </c>
      <c r="F94" s="27" t="s">
        <v>154</v>
      </c>
      <c r="G94" s="24" t="s">
        <v>18</v>
      </c>
      <c r="H94" s="24" t="str">
        <f ca="1">IF(OR(P50="",Q50=""),"Unknown (missing duration data)",IF(TODAY()&gt;Q50,"Completed",IF(TODAY()&lt;P50,"Upcoming","Ongoing")))</f>
        <v>Unknown (missing duration data)</v>
      </c>
    </row>
    <row r="95" spans="1:8" ht="51" x14ac:dyDescent="0.25">
      <c r="A95" s="24" t="s">
        <v>141</v>
      </c>
      <c r="B95" s="24" t="s">
        <v>116</v>
      </c>
      <c r="C95" s="24" t="s">
        <v>111</v>
      </c>
      <c r="D95" s="24" t="s">
        <v>51</v>
      </c>
      <c r="E95" s="24" t="s">
        <v>88</v>
      </c>
      <c r="F95" s="27" t="s">
        <v>155</v>
      </c>
      <c r="G95" s="24" t="s">
        <v>18</v>
      </c>
      <c r="H95" s="24" t="str">
        <f ca="1">IF(OR(P49="",Q49=""),"Unknown (missing duration data)",IF(TODAY()&gt;Q49,"Completed",IF(TODAY()&lt;P49,"Upcoming","Ongoing")))</f>
        <v>Unknown (missing duration data)</v>
      </c>
    </row>
    <row r="96" spans="1:8" ht="51" x14ac:dyDescent="0.25">
      <c r="A96" s="24" t="s">
        <v>141</v>
      </c>
      <c r="B96" s="24" t="s">
        <v>116</v>
      </c>
      <c r="C96" s="24" t="s">
        <v>111</v>
      </c>
      <c r="D96" s="24" t="s">
        <v>53</v>
      </c>
      <c r="E96" s="24" t="s">
        <v>88</v>
      </c>
      <c r="F96" s="27" t="s">
        <v>156</v>
      </c>
      <c r="G96" s="24" t="s">
        <v>18</v>
      </c>
      <c r="H96" s="24" t="str">
        <f ca="1">IF(OR(P46="",Q46=""),"Unknown (missing duration data)",IF(TODAY()&gt;Q46,"Completed",IF(TODAY()&lt;P46,"Upcoming","Ongoing")))</f>
        <v>Unknown (missing duration data)</v>
      </c>
    </row>
    <row r="97" spans="1:8" ht="51" x14ac:dyDescent="0.25">
      <c r="A97" s="24" t="s">
        <v>141</v>
      </c>
      <c r="B97" s="24" t="s">
        <v>116</v>
      </c>
      <c r="C97" s="24" t="s">
        <v>111</v>
      </c>
      <c r="D97" s="24" t="s">
        <v>54</v>
      </c>
      <c r="E97" s="24" t="s">
        <v>88</v>
      </c>
      <c r="F97" s="27" t="s">
        <v>157</v>
      </c>
      <c r="G97" s="24" t="s">
        <v>18</v>
      </c>
      <c r="H97" s="24" t="str">
        <f ca="1">IF(OR(P47="",Q47=""),"Unknown (missing duration data)",IF(TODAY()&gt;Q47,"Completed",IF(TODAY()&lt;P47,"Upcoming","Ongoing")))</f>
        <v>Unknown (missing duration data)</v>
      </c>
    </row>
    <row r="98" spans="1:8" ht="51" x14ac:dyDescent="0.25">
      <c r="A98" s="24" t="s">
        <v>141</v>
      </c>
      <c r="B98" s="24" t="s">
        <v>116</v>
      </c>
      <c r="C98" s="24" t="s">
        <v>111</v>
      </c>
      <c r="D98" s="24" t="s">
        <v>55</v>
      </c>
      <c r="E98" s="24" t="s">
        <v>88</v>
      </c>
      <c r="F98" s="27" t="s">
        <v>158</v>
      </c>
      <c r="G98" s="24" t="s">
        <v>18</v>
      </c>
      <c r="H98" s="24" t="str">
        <f ca="1">IF(OR(P48="",Q48=""),"Unknown (missing duration data)",IF(TODAY()&gt;Q48,"Completed",IF(TODAY()&lt;P48,"Upcoming","Ongoing")))</f>
        <v>Unknown (missing duration data)</v>
      </c>
    </row>
    <row r="99" spans="1:8" ht="51" x14ac:dyDescent="0.25">
      <c r="A99" s="24" t="s">
        <v>159</v>
      </c>
      <c r="B99" s="24" t="s">
        <v>99</v>
      </c>
      <c r="C99" s="24" t="s">
        <v>104</v>
      </c>
      <c r="D99" s="24" t="s">
        <v>52</v>
      </c>
      <c r="E99" s="24" t="s">
        <v>88</v>
      </c>
      <c r="F99" s="27" t="s">
        <v>160</v>
      </c>
      <c r="G99" s="24" t="s">
        <v>19</v>
      </c>
      <c r="H99" s="24" t="str">
        <f ca="1">IF(OR(P55="",Q55=""),"Unknown (missing duration data)",IF(TODAY()&gt;Q55,"Completed",IF(TODAY()&lt;P55,"Upcoming","Ongoing")))</f>
        <v>Unknown (missing duration data)</v>
      </c>
    </row>
    <row r="100" spans="1:8" ht="51" x14ac:dyDescent="0.25">
      <c r="A100" s="24" t="s">
        <v>159</v>
      </c>
      <c r="B100" s="24" t="s">
        <v>103</v>
      </c>
      <c r="C100" s="24" t="s">
        <v>104</v>
      </c>
      <c r="D100" s="24" t="s">
        <v>35</v>
      </c>
      <c r="E100" s="24" t="s">
        <v>88</v>
      </c>
      <c r="F100" s="27" t="s">
        <v>161</v>
      </c>
      <c r="G100" s="24" t="s">
        <v>18</v>
      </c>
      <c r="H100" s="24" t="str">
        <f ca="1">IF(OR(P64="",Q64=""),"Unknown (missing duration data)",IF(TODAY()&gt;Q64,"Completed",IF(TODAY()&lt;P64,"Upcoming","Ongoing")))</f>
        <v>Unknown (missing duration data)</v>
      </c>
    </row>
    <row r="101" spans="1:8" ht="51" x14ac:dyDescent="0.25">
      <c r="A101" s="24" t="s">
        <v>159</v>
      </c>
      <c r="B101" s="24" t="s">
        <v>103</v>
      </c>
      <c r="C101" s="24" t="s">
        <v>104</v>
      </c>
      <c r="D101" s="24" t="s">
        <v>36</v>
      </c>
      <c r="E101" s="24" t="s">
        <v>88</v>
      </c>
      <c r="F101" s="27" t="s">
        <v>162</v>
      </c>
      <c r="G101" s="24" t="s">
        <v>18</v>
      </c>
      <c r="H101" s="24" t="str">
        <f ca="1">IF(OR(P65="",Q65=""),"Unknown (missing duration data)",IF(TODAY()&gt;Q65,"Completed",IF(TODAY()&lt;P65,"Upcoming","Ongoing")))</f>
        <v>Unknown (missing duration data)</v>
      </c>
    </row>
    <row r="102" spans="1:8" ht="51" x14ac:dyDescent="0.25">
      <c r="A102" s="24" t="s">
        <v>159</v>
      </c>
      <c r="B102" s="24" t="s">
        <v>103</v>
      </c>
      <c r="C102" s="24" t="s">
        <v>104</v>
      </c>
      <c r="D102" s="24" t="s">
        <v>37</v>
      </c>
      <c r="E102" s="24" t="s">
        <v>88</v>
      </c>
      <c r="F102" s="27" t="s">
        <v>163</v>
      </c>
      <c r="G102" s="24" t="s">
        <v>18</v>
      </c>
      <c r="H102" s="24" t="str">
        <f ca="1">IF(OR(P66="",Q66=""),"Unknown (missing duration data)",IF(TODAY()&gt;Q66,"Completed",IF(TODAY()&lt;P66,"Upcoming","Ongoing")))</f>
        <v>Unknown (missing duration data)</v>
      </c>
    </row>
    <row r="103" spans="1:8" ht="51" x14ac:dyDescent="0.25">
      <c r="A103" s="24" t="s">
        <v>159</v>
      </c>
      <c r="B103" s="24" t="s">
        <v>103</v>
      </c>
      <c r="C103" s="24" t="s">
        <v>104</v>
      </c>
      <c r="D103" s="24" t="s">
        <v>38</v>
      </c>
      <c r="E103" s="24" t="s">
        <v>88</v>
      </c>
      <c r="F103" s="27" t="s">
        <v>152</v>
      </c>
      <c r="G103" s="24" t="s">
        <v>19</v>
      </c>
      <c r="H103" s="24" t="str">
        <f ca="1">IF(OR(P67="",Q67=""),"Unknown (missing duration data)",IF(TODAY()&gt;Q67,"Completed",IF(TODAY()&lt;P67,"Upcoming","Ongoing")))</f>
        <v>Unknown (missing duration data)</v>
      </c>
    </row>
    <row r="104" spans="1:8" ht="51" x14ac:dyDescent="0.25">
      <c r="A104" s="24" t="s">
        <v>159</v>
      </c>
      <c r="B104" s="24" t="s">
        <v>103</v>
      </c>
      <c r="C104" s="24" t="s">
        <v>104</v>
      </c>
      <c r="D104" s="24" t="s">
        <v>44</v>
      </c>
      <c r="E104" s="24" t="s">
        <v>88</v>
      </c>
      <c r="F104" s="27" t="s">
        <v>164</v>
      </c>
      <c r="G104" s="24" t="s">
        <v>18</v>
      </c>
      <c r="H104" s="24" t="str">
        <f ca="1">IF(OR(P61="",Q61=""),"Unknown (missing duration data)",IF(TODAY()&gt;Q61,"Completed",IF(TODAY()&lt;P61,"Upcoming","Ongoing")))</f>
        <v>Unknown (missing duration data)</v>
      </c>
    </row>
    <row r="105" spans="1:8" ht="51" x14ac:dyDescent="0.25">
      <c r="A105" s="24" t="s">
        <v>159</v>
      </c>
      <c r="B105" s="24" t="s">
        <v>103</v>
      </c>
      <c r="C105" s="24" t="s">
        <v>104</v>
      </c>
      <c r="D105" s="24" t="s">
        <v>45</v>
      </c>
      <c r="E105" s="24" t="s">
        <v>88</v>
      </c>
      <c r="F105" s="27" t="s">
        <v>165</v>
      </c>
      <c r="G105" s="24" t="s">
        <v>18</v>
      </c>
      <c r="H105" s="24" t="str">
        <f ca="1">IF(OR(P62="",Q62=""),"Unknown (missing duration data)",IF(TODAY()&gt;Q62,"Completed",IF(TODAY()&lt;P62,"Upcoming","Ongoing")))</f>
        <v>Unknown (missing duration data)</v>
      </c>
    </row>
    <row r="106" spans="1:8" ht="51" x14ac:dyDescent="0.25">
      <c r="A106" s="24" t="s">
        <v>159</v>
      </c>
      <c r="B106" s="24" t="s">
        <v>103</v>
      </c>
      <c r="C106" s="24" t="s">
        <v>104</v>
      </c>
      <c r="D106" s="24" t="s">
        <v>47</v>
      </c>
      <c r="E106" s="24" t="s">
        <v>88</v>
      </c>
      <c r="F106" s="27" t="s">
        <v>166</v>
      </c>
      <c r="G106" s="24" t="s">
        <v>18</v>
      </c>
      <c r="H106" s="24" t="str">
        <f ca="1">IF(OR(P63="",Q63=""),"Unknown (missing duration data)",IF(TODAY()&gt;Q63,"Completed",IF(TODAY()&lt;P63,"Upcoming","Ongoing")))</f>
        <v>Unknown (missing duration data)</v>
      </c>
    </row>
    <row r="107" spans="1:8" ht="51" x14ac:dyDescent="0.25">
      <c r="A107" s="24" t="s">
        <v>159</v>
      </c>
      <c r="B107" s="24" t="s">
        <v>103</v>
      </c>
      <c r="C107" s="24" t="s">
        <v>104</v>
      </c>
      <c r="D107" s="24" t="s">
        <v>50</v>
      </c>
      <c r="E107" s="24" t="s">
        <v>88</v>
      </c>
      <c r="F107" s="27" t="s">
        <v>167</v>
      </c>
      <c r="G107" s="24" t="s">
        <v>18</v>
      </c>
      <c r="H107" s="24" t="str">
        <f ca="1">IF(OR(P59="",Q59=""),"Unknown (missing duration data)",IF(TODAY()&gt;Q59,"Completed",IF(TODAY()&lt;P59,"Upcoming","Ongoing")))</f>
        <v>Unknown (missing duration data)</v>
      </c>
    </row>
    <row r="108" spans="1:8" ht="51" x14ac:dyDescent="0.25">
      <c r="A108" s="24" t="s">
        <v>159</v>
      </c>
      <c r="B108" s="24" t="s">
        <v>103</v>
      </c>
      <c r="C108" s="24" t="s">
        <v>104</v>
      </c>
      <c r="D108" s="24" t="s">
        <v>51</v>
      </c>
      <c r="E108" s="24" t="s">
        <v>88</v>
      </c>
      <c r="F108" s="27" t="s">
        <v>168</v>
      </c>
      <c r="G108" s="24" t="s">
        <v>18</v>
      </c>
      <c r="H108" s="24" t="str">
        <f ca="1">IF(OR(P60="",Q60=""),"Unknown (missing duration data)",IF(TODAY()&gt;Q60,"Completed",IF(TODAY()&lt;P60,"Upcoming","Ongoing")))</f>
        <v>Unknown (missing duration data)</v>
      </c>
    </row>
    <row r="109" spans="1:8" ht="51" x14ac:dyDescent="0.25">
      <c r="A109" s="24" t="s">
        <v>159</v>
      </c>
      <c r="B109" s="24" t="s">
        <v>103</v>
      </c>
      <c r="C109" s="24" t="s">
        <v>104</v>
      </c>
      <c r="D109" s="24" t="s">
        <v>54</v>
      </c>
      <c r="E109" s="24" t="s">
        <v>88</v>
      </c>
      <c r="F109" s="27" t="s">
        <v>169</v>
      </c>
      <c r="G109" s="24" t="s">
        <v>19</v>
      </c>
      <c r="H109" s="24" t="str">
        <f ca="1">IF(OR(P56="",Q56=""),"Unknown (missing duration data)",IF(TODAY()&gt;Q56,"Completed",IF(TODAY()&lt;P56,"Upcoming","Ongoing")))</f>
        <v>Unknown (missing duration data)</v>
      </c>
    </row>
    <row r="110" spans="1:8" ht="51" x14ac:dyDescent="0.25">
      <c r="A110" s="24" t="s">
        <v>159</v>
      </c>
      <c r="B110" s="24" t="s">
        <v>103</v>
      </c>
      <c r="C110" s="24" t="s">
        <v>111</v>
      </c>
      <c r="D110" s="24" t="s">
        <v>55</v>
      </c>
      <c r="E110" s="24" t="s">
        <v>88</v>
      </c>
      <c r="F110" s="27" t="s">
        <v>170</v>
      </c>
      <c r="G110" s="24" t="s">
        <v>18</v>
      </c>
      <c r="H110" s="24" t="str">
        <f ca="1">IF(OR(P57="",Q57=""),"Unknown (missing duration data)",IF(TODAY()&gt;Q57,"Completed",IF(TODAY()&lt;P57,"Upcoming","Ongoing")))</f>
        <v>Unknown (missing duration data)</v>
      </c>
    </row>
    <row r="111" spans="1:8" ht="51" x14ac:dyDescent="0.25">
      <c r="A111" s="24" t="s">
        <v>159</v>
      </c>
      <c r="B111" s="24" t="s">
        <v>103</v>
      </c>
      <c r="C111" s="24" t="s">
        <v>104</v>
      </c>
      <c r="D111" s="24" t="s">
        <v>56</v>
      </c>
      <c r="E111" s="24" t="s">
        <v>88</v>
      </c>
      <c r="F111" s="27" t="s">
        <v>171</v>
      </c>
      <c r="G111" s="24" t="s">
        <v>18</v>
      </c>
      <c r="H111" s="24" t="str">
        <f ca="1">IF(OR(P58="",Q58=""),"Unknown (missing duration data)",IF(TODAY()&gt;Q58,"Completed",IF(TODAY()&lt;P58,"Upcoming","Ongoing")))</f>
        <v>Unknown (missing duration data)</v>
      </c>
    </row>
    <row r="112" spans="1:8" ht="51" x14ac:dyDescent="0.25">
      <c r="A112" s="24" t="s">
        <v>159</v>
      </c>
      <c r="B112" s="24" t="s">
        <v>104</v>
      </c>
      <c r="C112" s="24" t="s">
        <v>113</v>
      </c>
      <c r="D112" s="24" t="s">
        <v>45</v>
      </c>
      <c r="E112" s="24" t="s">
        <v>88</v>
      </c>
      <c r="F112" s="27" t="s">
        <v>172</v>
      </c>
      <c r="G112" s="24" t="s">
        <v>18</v>
      </c>
      <c r="H112" s="24" t="str">
        <f ca="1">IF(OR(P69="",Q69=""),"Unknown (missing duration data)",IF(TODAY()&gt;Q69,"Completed",IF(TODAY()&lt;P69,"Upcoming","Ongoing")))</f>
        <v>Unknown (missing duration data)</v>
      </c>
    </row>
    <row r="113" spans="1:8" ht="51" x14ac:dyDescent="0.25">
      <c r="A113" s="24" t="s">
        <v>159</v>
      </c>
      <c r="B113" s="24" t="s">
        <v>104</v>
      </c>
      <c r="C113" s="24" t="s">
        <v>113</v>
      </c>
      <c r="D113" s="24" t="s">
        <v>52</v>
      </c>
      <c r="E113" s="24" t="s">
        <v>88</v>
      </c>
      <c r="F113" s="27" t="s">
        <v>173</v>
      </c>
      <c r="G113" s="24" t="s">
        <v>19</v>
      </c>
      <c r="H113" s="24" t="str">
        <f ca="1">IF(OR(P68="",Q68=""),"Unknown (missing duration data)",IF(TODAY()&gt;Q68,"Completed",IF(TODAY()&lt;P68,"Upcoming","Ongoing")))</f>
        <v>Unknown (missing duration data)</v>
      </c>
    </row>
    <row r="114" spans="1:8" ht="51" x14ac:dyDescent="0.25">
      <c r="A114" s="24" t="s">
        <v>159</v>
      </c>
      <c r="B114" s="24" t="s">
        <v>116</v>
      </c>
      <c r="C114" s="24" t="s">
        <v>111</v>
      </c>
      <c r="D114" s="24" t="s">
        <v>36</v>
      </c>
      <c r="E114" s="24" t="s">
        <v>88</v>
      </c>
      <c r="F114" s="27" t="s">
        <v>174</v>
      </c>
      <c r="G114" s="24" t="s">
        <v>18</v>
      </c>
      <c r="H114" s="24" t="str">
        <f ca="1">IF(OR(P76="",Q76=""),"Unknown (missing duration data)",IF(TODAY()&gt;Q76,"Completed",IF(TODAY()&lt;P76,"Upcoming","Ongoing")))</f>
        <v>Unknown (missing duration data)</v>
      </c>
    </row>
    <row r="115" spans="1:8" ht="51" x14ac:dyDescent="0.25">
      <c r="A115" s="24" t="s">
        <v>159</v>
      </c>
      <c r="B115" s="24" t="s">
        <v>116</v>
      </c>
      <c r="C115" s="24" t="s">
        <v>111</v>
      </c>
      <c r="D115" s="24" t="s">
        <v>37</v>
      </c>
      <c r="E115" s="24" t="s">
        <v>88</v>
      </c>
      <c r="F115" s="27" t="s">
        <v>175</v>
      </c>
      <c r="G115" s="24" t="s">
        <v>19</v>
      </c>
      <c r="H115" s="24" t="str">
        <f ca="1">IF(OR(P77="",Q77=""),"Unknown (missing duration data)",IF(TODAY()&gt;Q77,"Completed",IF(TODAY()&lt;P77,"Upcoming","Ongoing")))</f>
        <v>Unknown (missing duration data)</v>
      </c>
    </row>
    <row r="116" spans="1:8" ht="51" x14ac:dyDescent="0.25">
      <c r="A116" s="24" t="s">
        <v>159</v>
      </c>
      <c r="B116" s="24" t="s">
        <v>116</v>
      </c>
      <c r="C116" s="24" t="s">
        <v>111</v>
      </c>
      <c r="D116" s="24" t="s">
        <v>38</v>
      </c>
      <c r="E116" s="24" t="s">
        <v>88</v>
      </c>
      <c r="F116" s="27" t="s">
        <v>176</v>
      </c>
      <c r="G116" s="24" t="s">
        <v>19</v>
      </c>
      <c r="H116" s="24" t="str">
        <f ca="1">IF(OR(P78="",Q78=""),"Unknown (missing duration data)",IF(TODAY()&gt;Q78,"Completed",IF(TODAY()&lt;P78,"Upcoming","Ongoing")))</f>
        <v>Unknown (missing duration data)</v>
      </c>
    </row>
    <row r="117" spans="1:8" ht="51" x14ac:dyDescent="0.25">
      <c r="A117" s="24" t="s">
        <v>159</v>
      </c>
      <c r="B117" s="24" t="s">
        <v>116</v>
      </c>
      <c r="C117" s="24" t="s">
        <v>111</v>
      </c>
      <c r="D117" s="24" t="s">
        <v>44</v>
      </c>
      <c r="E117" s="24" t="s">
        <v>88</v>
      </c>
      <c r="F117" s="27" t="s">
        <v>177</v>
      </c>
      <c r="G117" s="24" t="s">
        <v>18</v>
      </c>
      <c r="H117" s="24" t="str">
        <f ca="1">IF(OR(P73="",Q73=""),"Unknown (missing duration data)",IF(TODAY()&gt;Q73,"Completed",IF(TODAY()&lt;P73,"Upcoming","Ongoing")))</f>
        <v>Unknown (missing duration data)</v>
      </c>
    </row>
    <row r="118" spans="1:8" ht="51" x14ac:dyDescent="0.25">
      <c r="A118" s="24" t="s">
        <v>159</v>
      </c>
      <c r="B118" s="24" t="s">
        <v>116</v>
      </c>
      <c r="C118" s="24" t="s">
        <v>111</v>
      </c>
      <c r="D118" s="24" t="s">
        <v>46</v>
      </c>
      <c r="E118" s="24" t="s">
        <v>88</v>
      </c>
      <c r="F118" s="27" t="s">
        <v>178</v>
      </c>
      <c r="G118" s="24" t="s">
        <v>18</v>
      </c>
      <c r="H118" s="24" t="str">
        <f ca="1">IF(OR(P74="",Q74=""),"Unknown (missing duration data)",IF(TODAY()&gt;Q74,"Completed",IF(TODAY()&lt;P74,"Upcoming","Ongoing")))</f>
        <v>Unknown (missing duration data)</v>
      </c>
    </row>
    <row r="119" spans="1:8" ht="51" x14ac:dyDescent="0.25">
      <c r="A119" s="24" t="s">
        <v>159</v>
      </c>
      <c r="B119" s="24" t="s">
        <v>116</v>
      </c>
      <c r="C119" s="24" t="s">
        <v>111</v>
      </c>
      <c r="D119" s="24" t="s">
        <v>47</v>
      </c>
      <c r="E119" s="24" t="s">
        <v>88</v>
      </c>
      <c r="F119" s="27" t="s">
        <v>179</v>
      </c>
      <c r="G119" s="24" t="s">
        <v>18</v>
      </c>
      <c r="H119" s="24" t="str">
        <f ca="1">IF(OR(P75="",Q75=""),"Unknown (missing duration data)",IF(TODAY()&gt;Q75,"Completed",IF(TODAY()&lt;P75,"Upcoming","Ongoing")))</f>
        <v>Unknown (missing duration data)</v>
      </c>
    </row>
    <row r="120" spans="1:8" ht="51" x14ac:dyDescent="0.25">
      <c r="A120" s="24" t="s">
        <v>159</v>
      </c>
      <c r="B120" s="24" t="s">
        <v>116</v>
      </c>
      <c r="C120" s="24" t="s">
        <v>111</v>
      </c>
      <c r="D120" s="24" t="s">
        <v>50</v>
      </c>
      <c r="E120" s="24" t="s">
        <v>88</v>
      </c>
      <c r="F120" s="27" t="s">
        <v>180</v>
      </c>
      <c r="G120" s="24" t="s">
        <v>18</v>
      </c>
      <c r="H120" s="24" t="str">
        <f ca="1">IF(OR(P71="",Q71=""),"Unknown (missing duration data)",IF(TODAY()&gt;Q71,"Completed",IF(TODAY()&lt;P71,"Upcoming","Ongoing")))</f>
        <v>Unknown (missing duration data)</v>
      </c>
    </row>
    <row r="121" spans="1:8" ht="51" x14ac:dyDescent="0.25">
      <c r="A121" s="24" t="s">
        <v>159</v>
      </c>
      <c r="B121" s="24" t="s">
        <v>116</v>
      </c>
      <c r="C121" s="24" t="s">
        <v>111</v>
      </c>
      <c r="D121" s="24" t="s">
        <v>51</v>
      </c>
      <c r="E121" s="24" t="s">
        <v>88</v>
      </c>
      <c r="F121" s="27" t="s">
        <v>181</v>
      </c>
      <c r="G121" s="24" t="s">
        <v>18</v>
      </c>
      <c r="H121" s="24" t="str">
        <f ca="1">IF(OR(P72="",Q72=""),"Unknown (missing duration data)",IF(TODAY()&gt;Q72,"Completed",IF(TODAY()&lt;P72,"Upcoming","Ongoing")))</f>
        <v>Unknown (missing duration data)</v>
      </c>
    </row>
    <row r="122" spans="1:8" ht="51" x14ac:dyDescent="0.25">
      <c r="A122" s="24" t="s">
        <v>159</v>
      </c>
      <c r="B122" s="24" t="s">
        <v>116</v>
      </c>
      <c r="C122" s="24" t="s">
        <v>111</v>
      </c>
      <c r="D122" s="24" t="s">
        <v>56</v>
      </c>
      <c r="E122" s="24" t="s">
        <v>88</v>
      </c>
      <c r="F122" s="27" t="s">
        <v>182</v>
      </c>
      <c r="G122" s="24" t="s">
        <v>18</v>
      </c>
      <c r="H122" s="24" t="str">
        <f ca="1">IF(OR(P70="",Q70=""),"Unknown (missing duration data)",IF(TODAY()&gt;Q70,"Completed",IF(TODAY()&lt;P70,"Upcoming","Ongoing")))</f>
        <v>Unknown (missing duration data)</v>
      </c>
    </row>
    <row r="123" spans="1:8" ht="51" x14ac:dyDescent="0.25">
      <c r="A123" s="24" t="s">
        <v>183</v>
      </c>
      <c r="B123" s="24" t="s">
        <v>99</v>
      </c>
      <c r="C123" s="24" t="s">
        <v>184</v>
      </c>
      <c r="D123" s="24" t="s">
        <v>53</v>
      </c>
      <c r="E123" s="24" t="s">
        <v>88</v>
      </c>
      <c r="F123" s="27" t="s">
        <v>185</v>
      </c>
      <c r="G123" s="24" t="s">
        <v>18</v>
      </c>
      <c r="H123" s="24" t="str">
        <f ca="1">IF(OR(P79="",Q79=""),"Unknown (missing duration data)",IF(TODAY()&gt;Q79,"Completed",IF(TODAY()&lt;P79,"Upcoming","Ongoing")))</f>
        <v>Unknown (missing duration data)</v>
      </c>
    </row>
    <row r="124" spans="1:8" ht="51" x14ac:dyDescent="0.25">
      <c r="A124" s="24" t="s">
        <v>183</v>
      </c>
      <c r="B124" s="24" t="s">
        <v>103</v>
      </c>
      <c r="C124" s="24" t="s">
        <v>104</v>
      </c>
      <c r="D124" s="24" t="s">
        <v>36</v>
      </c>
      <c r="E124" s="24" t="s">
        <v>88</v>
      </c>
      <c r="F124" s="27" t="s">
        <v>186</v>
      </c>
      <c r="G124" s="24" t="s">
        <v>18</v>
      </c>
      <c r="H124" s="24" t="str">
        <f ca="1">IF(OR(P83="",Q83=""),"Unknown (missing duration data)",IF(TODAY()&gt;Q83,"Completed",IF(TODAY()&lt;P83,"Upcoming","Ongoing")))</f>
        <v>Unknown (missing duration data)</v>
      </c>
    </row>
    <row r="125" spans="1:8" ht="51" x14ac:dyDescent="0.25">
      <c r="A125" s="24" t="s">
        <v>183</v>
      </c>
      <c r="B125" s="24" t="s">
        <v>103</v>
      </c>
      <c r="C125" s="24" t="s">
        <v>104</v>
      </c>
      <c r="D125" s="24" t="s">
        <v>44</v>
      </c>
      <c r="E125" s="24" t="s">
        <v>88</v>
      </c>
      <c r="F125" s="27" t="s">
        <v>187</v>
      </c>
      <c r="G125" s="24" t="s">
        <v>18</v>
      </c>
      <c r="H125" s="24" t="str">
        <f ca="1">IF(OR(P81="",Q81=""),"Unknown (missing duration data)",IF(TODAY()&gt;Q81,"Completed",IF(TODAY()&lt;P81,"Upcoming","Ongoing")))</f>
        <v>Unknown (missing duration data)</v>
      </c>
    </row>
    <row r="126" spans="1:8" ht="51" x14ac:dyDescent="0.25">
      <c r="A126" s="24" t="s">
        <v>183</v>
      </c>
      <c r="B126" s="24" t="s">
        <v>103</v>
      </c>
      <c r="C126" s="24" t="s">
        <v>104</v>
      </c>
      <c r="D126" s="24" t="s">
        <v>47</v>
      </c>
      <c r="E126" s="24" t="s">
        <v>88</v>
      </c>
      <c r="F126" s="27" t="s">
        <v>188</v>
      </c>
      <c r="G126" s="24" t="s">
        <v>18</v>
      </c>
      <c r="H126" s="24" t="str">
        <f ca="1">IF(OR(P82="",Q82=""),"Unknown (missing duration data)",IF(TODAY()&gt;Q82,"Completed",IF(TODAY()&lt;P82,"Upcoming","Ongoing")))</f>
        <v>Unknown (missing duration data)</v>
      </c>
    </row>
    <row r="127" spans="1:8" ht="51" x14ac:dyDescent="0.25">
      <c r="A127" s="24" t="s">
        <v>183</v>
      </c>
      <c r="B127" s="24" t="s">
        <v>103</v>
      </c>
      <c r="C127" s="24" t="s">
        <v>184</v>
      </c>
      <c r="D127" s="24" t="s">
        <v>51</v>
      </c>
      <c r="E127" s="24" t="s">
        <v>88</v>
      </c>
      <c r="F127" s="27" t="s">
        <v>189</v>
      </c>
      <c r="G127" s="24" t="s">
        <v>18</v>
      </c>
      <c r="H127" s="24" t="str">
        <f ca="1">IF(OR(P80="",Q80=""),"Unknown (missing duration data)",IF(TODAY()&gt;Q80,"Completed",IF(TODAY()&lt;P80,"Upcoming","Ongoing")))</f>
        <v>Unknown (missing duration data)</v>
      </c>
    </row>
    <row r="128" spans="1:8" ht="51" x14ac:dyDescent="0.25">
      <c r="A128" s="24" t="s">
        <v>183</v>
      </c>
      <c r="B128" s="24" t="s">
        <v>104</v>
      </c>
      <c r="C128" s="24" t="s">
        <v>113</v>
      </c>
      <c r="D128" s="24" t="s">
        <v>38</v>
      </c>
      <c r="E128" s="24" t="s">
        <v>88</v>
      </c>
      <c r="F128" s="27" t="s">
        <v>190</v>
      </c>
      <c r="G128" s="24" t="s">
        <v>19</v>
      </c>
      <c r="H128" s="24" t="str">
        <f ca="1">IF(OR(P84="",Q84=""),"Unknown (missing duration data)",IF(TODAY()&gt;Q84,"Completed",IF(TODAY()&lt;P84,"Upcoming","Ongoing")))</f>
        <v>Unknown (missing duration data)</v>
      </c>
    </row>
    <row r="129" spans="1:8" ht="51" x14ac:dyDescent="0.25">
      <c r="A129" s="24" t="s">
        <v>183</v>
      </c>
      <c r="B129" s="24" t="s">
        <v>116</v>
      </c>
      <c r="C129" s="24" t="s">
        <v>111</v>
      </c>
      <c r="D129" s="24" t="s">
        <v>44</v>
      </c>
      <c r="E129" s="24" t="s">
        <v>88</v>
      </c>
      <c r="F129" s="27" t="s">
        <v>191</v>
      </c>
      <c r="G129" s="24" t="s">
        <v>18</v>
      </c>
      <c r="H129" s="24" t="str">
        <f ca="1">IF(OR(P88="",Q88=""),"Unknown (missing duration data)",IF(TODAY()&gt;Q88,"Completed",IF(TODAY()&lt;P88,"Upcoming","Ongoing")))</f>
        <v>Unknown (missing duration data)</v>
      </c>
    </row>
    <row r="130" spans="1:8" ht="51" x14ac:dyDescent="0.25">
      <c r="A130" s="24" t="s">
        <v>183</v>
      </c>
      <c r="B130" s="24" t="s">
        <v>116</v>
      </c>
      <c r="C130" s="24" t="s">
        <v>111</v>
      </c>
      <c r="D130" s="24" t="s">
        <v>45</v>
      </c>
      <c r="E130" s="24" t="s">
        <v>88</v>
      </c>
      <c r="F130" s="27" t="s">
        <v>192</v>
      </c>
      <c r="G130" s="24" t="s">
        <v>18</v>
      </c>
      <c r="H130" s="24" t="str">
        <f ca="1">IF(OR(P89="",Q89=""),"Unknown (missing duration data)",IF(TODAY()&gt;Q89,"Completed",IF(TODAY()&lt;P89,"Upcoming","Ongoing")))</f>
        <v>Unknown (missing duration data)</v>
      </c>
    </row>
    <row r="131" spans="1:8" ht="51" x14ac:dyDescent="0.25">
      <c r="A131" s="24" t="s">
        <v>183</v>
      </c>
      <c r="B131" s="24" t="s">
        <v>116</v>
      </c>
      <c r="C131" s="24" t="s">
        <v>111</v>
      </c>
      <c r="D131" s="24" t="s">
        <v>46</v>
      </c>
      <c r="E131" s="24" t="s">
        <v>88</v>
      </c>
      <c r="F131" s="27" t="s">
        <v>193</v>
      </c>
      <c r="G131" s="24" t="s">
        <v>18</v>
      </c>
      <c r="H131" s="24" t="str">
        <f ca="1">IF(OR(P90="",Q90=""),"Unknown (missing duration data)",IF(TODAY()&gt;Q90,"Completed",IF(TODAY()&lt;P90,"Upcoming","Ongoing")))</f>
        <v>Unknown (missing duration data)</v>
      </c>
    </row>
    <row r="132" spans="1:8" ht="51" x14ac:dyDescent="0.25">
      <c r="A132" s="24" t="s">
        <v>183</v>
      </c>
      <c r="B132" s="24" t="s">
        <v>116</v>
      </c>
      <c r="C132" s="24" t="s">
        <v>111</v>
      </c>
      <c r="D132" s="24" t="s">
        <v>51</v>
      </c>
      <c r="E132" s="24" t="s">
        <v>88</v>
      </c>
      <c r="F132" s="27" t="s">
        <v>194</v>
      </c>
      <c r="G132" s="24" t="s">
        <v>18</v>
      </c>
      <c r="H132" s="24" t="str">
        <f ca="1">IF(OR(P87="",Q87=""),"Unknown (missing duration data)",IF(TODAY()&gt;Q87,"Completed",IF(TODAY()&lt;P87,"Upcoming","Ongoing")))</f>
        <v>Unknown (missing duration data)</v>
      </c>
    </row>
    <row r="133" spans="1:8" ht="51" x14ac:dyDescent="0.25">
      <c r="A133" s="24" t="s">
        <v>183</v>
      </c>
      <c r="B133" s="24" t="s">
        <v>116</v>
      </c>
      <c r="C133" s="24" t="s">
        <v>111</v>
      </c>
      <c r="D133" s="24" t="s">
        <v>52</v>
      </c>
      <c r="E133" s="24" t="s">
        <v>88</v>
      </c>
      <c r="F133" s="27" t="s">
        <v>195</v>
      </c>
      <c r="G133" s="24" t="s">
        <v>18</v>
      </c>
      <c r="H133" s="24" t="str">
        <f ca="1">IF(OR(P85="",Q85=""),"Unknown (missing duration data)",IF(TODAY()&gt;Q85,"Completed",IF(TODAY()&lt;P85,"Upcoming","Ongoing")))</f>
        <v>Unknown (missing duration data)</v>
      </c>
    </row>
    <row r="134" spans="1:8" ht="51" x14ac:dyDescent="0.25">
      <c r="A134" s="24" t="s">
        <v>183</v>
      </c>
      <c r="B134" s="24" t="s">
        <v>116</v>
      </c>
      <c r="C134" s="24" t="s">
        <v>111</v>
      </c>
      <c r="D134" s="24" t="s">
        <v>56</v>
      </c>
      <c r="E134" s="24" t="s">
        <v>88</v>
      </c>
      <c r="F134" s="27" t="s">
        <v>196</v>
      </c>
      <c r="G134" s="24" t="s">
        <v>18</v>
      </c>
      <c r="H134" s="24" t="str">
        <f ca="1">IF(OR(P86="",Q86=""),"Unknown (missing duration data)",IF(TODAY()&gt;Q86,"Completed",IF(TODAY()&lt;P86,"Upcoming","Ongoing")))</f>
        <v>Unknown (missing duration data)</v>
      </c>
    </row>
    <row r="135" spans="1:8" ht="51" x14ac:dyDescent="0.25">
      <c r="A135" s="24" t="s">
        <v>197</v>
      </c>
      <c r="B135" s="24" t="s">
        <v>198</v>
      </c>
      <c r="C135" s="24" t="s">
        <v>199</v>
      </c>
      <c r="D135" s="24" t="s">
        <v>35</v>
      </c>
      <c r="E135" s="24" t="s">
        <v>88</v>
      </c>
      <c r="F135" s="27" t="s">
        <v>200</v>
      </c>
      <c r="G135" s="24" t="s">
        <v>18</v>
      </c>
      <c r="H135" s="24" t="str">
        <f ca="1">IF(OR(P109="",Q109=""),"Unknown (missing duration data)",IF(TODAY()&gt;Q109,"Completed",IF(TODAY()&lt;P109,"Upcoming","Ongoing")))</f>
        <v>Unknown (missing duration data)</v>
      </c>
    </row>
    <row r="136" spans="1:8" ht="51" x14ac:dyDescent="0.25">
      <c r="A136" s="24" t="s">
        <v>197</v>
      </c>
      <c r="B136" s="24" t="s">
        <v>198</v>
      </c>
      <c r="C136" s="24" t="s">
        <v>201</v>
      </c>
      <c r="D136" s="24" t="s">
        <v>36</v>
      </c>
      <c r="E136" s="24" t="s">
        <v>88</v>
      </c>
      <c r="F136" s="27" t="s">
        <v>202</v>
      </c>
      <c r="G136" s="24" t="s">
        <v>19</v>
      </c>
      <c r="H136" s="24" t="str">
        <f ca="1">IF(OR(P110="",Q110=""),"Unknown (missing duration data)",IF(TODAY()&gt;Q110,"Completed",IF(TODAY()&lt;P110,"Upcoming","Ongoing")))</f>
        <v>Unknown (missing duration data)</v>
      </c>
    </row>
    <row r="137" spans="1:8" ht="51" x14ac:dyDescent="0.25">
      <c r="A137" s="24" t="s">
        <v>197</v>
      </c>
      <c r="B137" s="24" t="s">
        <v>198</v>
      </c>
      <c r="C137" s="24" t="s">
        <v>203</v>
      </c>
      <c r="D137" s="24" t="s">
        <v>37</v>
      </c>
      <c r="E137" s="24" t="s">
        <v>88</v>
      </c>
      <c r="F137" s="27" t="s">
        <v>204</v>
      </c>
      <c r="G137" s="24" t="s">
        <v>18</v>
      </c>
      <c r="H137" s="24" t="str">
        <f ca="1">IF(OR(P111="",Q111=""),"Unknown (missing duration data)",IF(TODAY()&gt;Q111,"Completed",IF(TODAY()&lt;P111,"Upcoming","Ongoing")))</f>
        <v>Unknown (missing duration data)</v>
      </c>
    </row>
    <row r="138" spans="1:8" ht="51" x14ac:dyDescent="0.25">
      <c r="A138" s="24" t="s">
        <v>197</v>
      </c>
      <c r="B138" s="24" t="s">
        <v>198</v>
      </c>
      <c r="C138" s="24" t="s">
        <v>203</v>
      </c>
      <c r="D138" s="24" t="s">
        <v>38</v>
      </c>
      <c r="E138" s="24" t="s">
        <v>88</v>
      </c>
      <c r="F138" s="27" t="s">
        <v>205</v>
      </c>
      <c r="G138" s="24" t="s">
        <v>19</v>
      </c>
      <c r="H138" s="24" t="str">
        <f ca="1">IF(OR(P112="",Q112=""),"Unknown (missing duration data)",IF(TODAY()&gt;Q112,"Completed",IF(TODAY()&lt;P112,"Upcoming","Ongoing")))</f>
        <v>Unknown (missing duration data)</v>
      </c>
    </row>
    <row r="139" spans="1:8" ht="51" x14ac:dyDescent="0.25">
      <c r="A139" s="24" t="s">
        <v>197</v>
      </c>
      <c r="B139" s="24" t="s">
        <v>198</v>
      </c>
      <c r="C139" s="24" t="s">
        <v>203</v>
      </c>
      <c r="D139" s="24" t="s">
        <v>41</v>
      </c>
      <c r="E139" s="24" t="s">
        <v>88</v>
      </c>
      <c r="F139" s="27" t="s">
        <v>206</v>
      </c>
      <c r="G139" s="24" t="s">
        <v>18</v>
      </c>
      <c r="H139" s="24" t="str">
        <f ca="1">IF(OR(P114="",Q114=""),"Unknown (missing duration data)",IF(TODAY()&gt;Q114,"Completed",IF(TODAY()&lt;P114,"Upcoming","Ongoing")))</f>
        <v>Unknown (missing duration data)</v>
      </c>
    </row>
    <row r="140" spans="1:8" ht="51" x14ac:dyDescent="0.25">
      <c r="A140" s="24" t="s">
        <v>197</v>
      </c>
      <c r="B140" s="24" t="s">
        <v>198</v>
      </c>
      <c r="C140" s="24" t="s">
        <v>203</v>
      </c>
      <c r="D140" s="24" t="s">
        <v>42</v>
      </c>
      <c r="E140" s="24" t="s">
        <v>88</v>
      </c>
      <c r="F140" s="27" t="s">
        <v>207</v>
      </c>
      <c r="G140" s="24" t="s">
        <v>20</v>
      </c>
      <c r="H140" s="24" t="str">
        <f ca="1">IF(OR(P113="",Q113=""),"Unknown (missing duration data)",IF(TODAY()&gt;Q113,"Completed",IF(TODAY()&lt;P113,"Upcoming","Ongoing")))</f>
        <v>Unknown (missing duration data)</v>
      </c>
    </row>
    <row r="141" spans="1:8" ht="51" x14ac:dyDescent="0.25">
      <c r="A141" s="24" t="s">
        <v>197</v>
      </c>
      <c r="B141" s="24" t="s">
        <v>198</v>
      </c>
      <c r="C141" s="24" t="s">
        <v>203</v>
      </c>
      <c r="D141" s="24" t="s">
        <v>44</v>
      </c>
      <c r="E141" s="24" t="s">
        <v>88</v>
      </c>
      <c r="F141" s="27" t="s">
        <v>208</v>
      </c>
      <c r="G141" s="24" t="s">
        <v>18</v>
      </c>
      <c r="H141" s="24" t="str">
        <f ca="1">IF(OR(P104="",Q104=""),"Unknown (missing duration data)",IF(TODAY()&gt;Q104,"Completed",IF(TODAY()&lt;P104,"Upcoming","Ongoing")))</f>
        <v>Unknown (missing duration data)</v>
      </c>
    </row>
    <row r="142" spans="1:8" ht="51" x14ac:dyDescent="0.25">
      <c r="A142" s="24" t="s">
        <v>197</v>
      </c>
      <c r="B142" s="24" t="s">
        <v>198</v>
      </c>
      <c r="C142" s="24" t="s">
        <v>209</v>
      </c>
      <c r="D142" s="24" t="s">
        <v>45</v>
      </c>
      <c r="E142" s="24" t="s">
        <v>88</v>
      </c>
      <c r="F142" s="27" t="s">
        <v>210</v>
      </c>
      <c r="G142" s="24" t="s">
        <v>20</v>
      </c>
      <c r="H142" s="24" t="str">
        <f ca="1">IF(OR(P105="",Q105=""),"Unknown (missing duration data)",IF(TODAY()&gt;Q105,"Completed",IF(TODAY()&lt;P105,"Upcoming","Ongoing")))</f>
        <v>Unknown (missing duration data)</v>
      </c>
    </row>
    <row r="143" spans="1:8" ht="51" x14ac:dyDescent="0.25">
      <c r="A143" s="24" t="s">
        <v>197</v>
      </c>
      <c r="B143" s="24" t="s">
        <v>198</v>
      </c>
      <c r="C143" s="24" t="s">
        <v>209</v>
      </c>
      <c r="D143" s="24" t="s">
        <v>46</v>
      </c>
      <c r="E143" s="24" t="s">
        <v>88</v>
      </c>
      <c r="F143" s="27" t="s">
        <v>211</v>
      </c>
      <c r="G143" s="24" t="s">
        <v>19</v>
      </c>
      <c r="H143" s="24" t="str">
        <f ca="1">IF(OR(P106="",Q106=""),"Unknown (missing duration data)",IF(TODAY()&gt;Q106,"Completed",IF(TODAY()&lt;P106,"Upcoming","Ongoing")))</f>
        <v>Unknown (missing duration data)</v>
      </c>
    </row>
    <row r="144" spans="1:8" ht="51" x14ac:dyDescent="0.25">
      <c r="A144" s="24" t="s">
        <v>197</v>
      </c>
      <c r="B144" s="24" t="s">
        <v>198</v>
      </c>
      <c r="C144" s="24" t="s">
        <v>199</v>
      </c>
      <c r="D144" s="24" t="s">
        <v>47</v>
      </c>
      <c r="E144" s="24" t="s">
        <v>88</v>
      </c>
      <c r="F144" s="27" t="s">
        <v>212</v>
      </c>
      <c r="G144" s="24" t="s">
        <v>18</v>
      </c>
      <c r="H144" s="24" t="str">
        <f ca="1">IF(OR(P108="",Q108=""),"Unknown (missing duration data)",IF(TODAY()&gt;Q108,"Completed",IF(TODAY()&lt;P108,"Upcoming","Ongoing")))</f>
        <v>Unknown (missing duration data)</v>
      </c>
    </row>
    <row r="145" spans="1:8" ht="51" x14ac:dyDescent="0.25">
      <c r="A145" s="24" t="s">
        <v>197</v>
      </c>
      <c r="B145" s="24" t="s">
        <v>198</v>
      </c>
      <c r="C145" s="24" t="s">
        <v>203</v>
      </c>
      <c r="D145" s="24" t="s">
        <v>48</v>
      </c>
      <c r="E145" s="24" t="s">
        <v>88</v>
      </c>
      <c r="F145" s="27" t="s">
        <v>213</v>
      </c>
      <c r="G145" s="24" t="s">
        <v>18</v>
      </c>
      <c r="H145" s="24" t="str">
        <f ca="1">IF(OR(P100="",Q100=""),"Unknown (missing duration data)",IF(TODAY()&gt;Q100,"Completed",IF(TODAY()&lt;P100,"Upcoming","Ongoing")))</f>
        <v>Unknown (missing duration data)</v>
      </c>
    </row>
    <row r="146" spans="1:8" ht="51" x14ac:dyDescent="0.25">
      <c r="A146" s="24" t="s">
        <v>197</v>
      </c>
      <c r="B146" s="24" t="s">
        <v>198</v>
      </c>
      <c r="C146" s="24" t="s">
        <v>209</v>
      </c>
      <c r="D146" s="24" t="s">
        <v>49</v>
      </c>
      <c r="E146" s="24" t="s">
        <v>88</v>
      </c>
      <c r="F146" s="27" t="s">
        <v>214</v>
      </c>
      <c r="G146" s="24" t="s">
        <v>18</v>
      </c>
      <c r="H146" s="24" t="str">
        <f ca="1">IF(OR(P101="",Q101=""),"Unknown (missing duration data)",IF(TODAY()&gt;Q101,"Completed",IF(TODAY()&lt;P101,"Upcoming","Ongoing")))</f>
        <v>Unknown (missing duration data)</v>
      </c>
    </row>
    <row r="147" spans="1:8" ht="51" x14ac:dyDescent="0.25">
      <c r="A147" s="24" t="s">
        <v>197</v>
      </c>
      <c r="B147" s="24" t="s">
        <v>198</v>
      </c>
      <c r="C147" s="24" t="s">
        <v>209</v>
      </c>
      <c r="D147" s="24" t="s">
        <v>50</v>
      </c>
      <c r="E147" s="24" t="s">
        <v>88</v>
      </c>
      <c r="F147" s="27" t="s">
        <v>215</v>
      </c>
      <c r="G147" s="24" t="s">
        <v>18</v>
      </c>
      <c r="H147" s="24" t="str">
        <f ca="1">IF(OR(P102="",Q102=""),"Unknown (missing duration data)",IF(TODAY()&gt;Q102,"Completed",IF(TODAY()&lt;P102,"Upcoming","Ongoing")))</f>
        <v>Unknown (missing duration data)</v>
      </c>
    </row>
    <row r="148" spans="1:8" ht="51" x14ac:dyDescent="0.25">
      <c r="A148" s="24" t="s">
        <v>197</v>
      </c>
      <c r="B148" s="24" t="s">
        <v>198</v>
      </c>
      <c r="C148" s="24" t="s">
        <v>199</v>
      </c>
      <c r="D148" s="24" t="s">
        <v>51</v>
      </c>
      <c r="E148" s="24" t="s">
        <v>88</v>
      </c>
      <c r="F148" s="27" t="s">
        <v>216</v>
      </c>
      <c r="G148" s="24" t="s">
        <v>18</v>
      </c>
      <c r="H148" s="24" t="str">
        <f ca="1">IF(OR(P103="",Q103=""),"Unknown (missing duration data)",IF(TODAY()&gt;Q103,"Completed",IF(TODAY()&lt;P103,"Upcoming","Ongoing")))</f>
        <v>Unknown (missing duration data)</v>
      </c>
    </row>
    <row r="149" spans="1:8" ht="51" x14ac:dyDescent="0.25">
      <c r="A149" s="24" t="s">
        <v>197</v>
      </c>
      <c r="B149" s="24" t="s">
        <v>198</v>
      </c>
      <c r="C149" s="24" t="s">
        <v>203</v>
      </c>
      <c r="D149" s="24" t="s">
        <v>53</v>
      </c>
      <c r="E149" s="24" t="s">
        <v>88</v>
      </c>
      <c r="F149" s="27" t="s">
        <v>217</v>
      </c>
      <c r="G149" s="24" t="s">
        <v>19</v>
      </c>
      <c r="H149" s="24" t="str">
        <f ca="1">IF(OR(P92="",Q92=""),"Unknown (missing duration data)",IF(TODAY()&gt;Q92,"Completed",IF(TODAY()&lt;P92,"Upcoming","Ongoing")))</f>
        <v>Unknown (missing duration data)</v>
      </c>
    </row>
    <row r="150" spans="1:8" ht="51" x14ac:dyDescent="0.25">
      <c r="A150" s="24" t="s">
        <v>197</v>
      </c>
      <c r="B150" s="24" t="s">
        <v>198</v>
      </c>
      <c r="C150" s="24" t="s">
        <v>203</v>
      </c>
      <c r="D150" s="24" t="s">
        <v>54</v>
      </c>
      <c r="E150" s="24" t="s">
        <v>88</v>
      </c>
      <c r="F150" s="27" t="s">
        <v>218</v>
      </c>
      <c r="G150" s="24" t="s">
        <v>18</v>
      </c>
      <c r="H150" s="24" t="str">
        <f ca="1">IF(OR(P93="",Q93=""),"Unknown (missing duration data)",IF(TODAY()&gt;Q93,"Completed",IF(TODAY()&lt;P93,"Upcoming","Ongoing")))</f>
        <v>Unknown (missing duration data)</v>
      </c>
    </row>
    <row r="151" spans="1:8" ht="51" x14ac:dyDescent="0.25">
      <c r="A151" s="24" t="s">
        <v>197</v>
      </c>
      <c r="B151" s="24" t="s">
        <v>198</v>
      </c>
      <c r="C151" s="24" t="s">
        <v>209</v>
      </c>
      <c r="D151" s="24" t="s">
        <v>55</v>
      </c>
      <c r="E151" s="24" t="s">
        <v>88</v>
      </c>
      <c r="F151" s="27" t="s">
        <v>219</v>
      </c>
      <c r="G151" s="24" t="s">
        <v>18</v>
      </c>
      <c r="H151" s="24" t="str">
        <f ca="1">IF(OR(P94="",Q94=""),"Unknown (missing duration data)",IF(TODAY()&gt;Q94,"Completed",IF(TODAY()&lt;P94,"Upcoming","Ongoing")))</f>
        <v>Unknown (missing duration data)</v>
      </c>
    </row>
    <row r="152" spans="1:8" ht="51" x14ac:dyDescent="0.25">
      <c r="A152" s="24" t="s">
        <v>197</v>
      </c>
      <c r="B152" s="24" t="s">
        <v>198</v>
      </c>
      <c r="C152" s="24" t="s">
        <v>203</v>
      </c>
      <c r="D152" s="24" t="s">
        <v>56</v>
      </c>
      <c r="E152" s="24" t="s">
        <v>88</v>
      </c>
      <c r="F152" s="27" t="s">
        <v>220</v>
      </c>
      <c r="G152" s="24" t="s">
        <v>18</v>
      </c>
      <c r="H152" s="24" t="str">
        <f ca="1">IF(OR(P96="",Q96=""),"Unknown (missing duration data)",IF(TODAY()&gt;Q96,"Completed",IF(TODAY()&lt;P96,"Upcoming","Ongoing")))</f>
        <v>Unknown (missing duration data)</v>
      </c>
    </row>
    <row r="153" spans="1:8" ht="51" x14ac:dyDescent="0.25">
      <c r="A153" s="24" t="s">
        <v>197</v>
      </c>
      <c r="B153" s="24" t="s">
        <v>198</v>
      </c>
      <c r="C153" s="24" t="s">
        <v>201</v>
      </c>
      <c r="D153" s="24" t="s">
        <v>57</v>
      </c>
      <c r="E153" s="24" t="s">
        <v>88</v>
      </c>
      <c r="F153" s="27" t="s">
        <v>221</v>
      </c>
      <c r="G153" s="24" t="s">
        <v>19</v>
      </c>
      <c r="H153" s="24" t="str">
        <f ca="1">IF(OR(P97="",Q97=""),"Unknown (missing duration data)",IF(TODAY()&gt;Q97,"Completed",IF(TODAY()&lt;P97,"Upcoming","Ongoing")))</f>
        <v>Unknown (missing duration data)</v>
      </c>
    </row>
    <row r="154" spans="1:8" ht="51" x14ac:dyDescent="0.25">
      <c r="A154" s="24" t="s">
        <v>197</v>
      </c>
      <c r="B154" s="24" t="s">
        <v>198</v>
      </c>
      <c r="C154" s="24" t="s">
        <v>203</v>
      </c>
      <c r="D154" s="24" t="s">
        <v>58</v>
      </c>
      <c r="E154" s="24" t="s">
        <v>88</v>
      </c>
      <c r="F154" s="27" t="s">
        <v>222</v>
      </c>
      <c r="G154" s="24" t="s">
        <v>18</v>
      </c>
      <c r="H154" s="24" t="str">
        <f ca="1">IF(OR(P98="",Q98=""),"Unknown (missing duration data)",IF(TODAY()&gt;Q98,"Completed",IF(TODAY()&lt;P98,"Upcoming","Ongoing")))</f>
        <v>Unknown (missing duration data)</v>
      </c>
    </row>
    <row r="155" spans="1:8" ht="51" x14ac:dyDescent="0.25">
      <c r="A155" s="24" t="s">
        <v>197</v>
      </c>
      <c r="B155" s="24" t="s">
        <v>198</v>
      </c>
      <c r="C155" s="24" t="s">
        <v>199</v>
      </c>
      <c r="D155" s="24" t="s">
        <v>59</v>
      </c>
      <c r="E155" s="24" t="s">
        <v>88</v>
      </c>
      <c r="F155" s="27" t="s">
        <v>223</v>
      </c>
      <c r="G155" s="24" t="s">
        <v>18</v>
      </c>
      <c r="H155" s="24" t="str">
        <f ca="1">IF(OR(P99="",Q99=""),"Unknown (missing duration data)",IF(TODAY()&gt;Q99,"Completed",IF(TODAY()&lt;P99,"Upcoming","Ongoing")))</f>
        <v>Unknown (missing duration data)</v>
      </c>
    </row>
    <row r="156" spans="1:8" ht="51" x14ac:dyDescent="0.25">
      <c r="A156" s="24" t="s">
        <v>197</v>
      </c>
      <c r="B156" s="24" t="s">
        <v>209</v>
      </c>
      <c r="C156" s="24" t="s">
        <v>203</v>
      </c>
      <c r="D156" s="24" t="s">
        <v>69</v>
      </c>
      <c r="E156" s="24" t="s">
        <v>92</v>
      </c>
      <c r="F156" s="27" t="s">
        <v>224</v>
      </c>
      <c r="G156" s="24" t="s">
        <v>20</v>
      </c>
      <c r="H156" s="24" t="str">
        <f ca="1">IF(OR(P115="",Q115=""),"Unknown (missing duration data)",IF(TODAY()&gt;Q115,"Completed",IF(TODAY()&lt;P115,"Upcoming","Ongoing")))</f>
        <v>Unknown (missing duration data)</v>
      </c>
    </row>
    <row r="157" spans="1:8" ht="51" x14ac:dyDescent="0.25">
      <c r="A157" s="24" t="s">
        <v>197</v>
      </c>
      <c r="B157" s="24" t="s">
        <v>209</v>
      </c>
      <c r="C157" s="24" t="s">
        <v>203</v>
      </c>
      <c r="D157" s="24" t="s">
        <v>40</v>
      </c>
      <c r="E157" s="24" t="s">
        <v>88</v>
      </c>
      <c r="F157" s="27" t="s">
        <v>225</v>
      </c>
      <c r="G157" s="24" t="s">
        <v>20</v>
      </c>
      <c r="H157" s="24" t="str">
        <f ca="1">IF(OR(P116="",Q116=""),"Unknown (missing duration data)",IF(TODAY()&gt;Q116,"Completed",IF(TODAY()&lt;P116,"Upcoming","Ongoing")))</f>
        <v>Unknown (missing duration data)</v>
      </c>
    </row>
    <row r="158" spans="1:8" ht="51" x14ac:dyDescent="0.25">
      <c r="A158" s="24" t="s">
        <v>197</v>
      </c>
      <c r="B158" s="24" t="s">
        <v>209</v>
      </c>
      <c r="C158" s="24" t="s">
        <v>203</v>
      </c>
      <c r="D158" s="24" t="s">
        <v>46</v>
      </c>
      <c r="E158" s="24" t="s">
        <v>88</v>
      </c>
      <c r="F158" s="27" t="s">
        <v>226</v>
      </c>
      <c r="G158" s="24" t="s">
        <v>18</v>
      </c>
      <c r="H158" s="24" t="str">
        <f ca="1">IF(OR(P107="",Q107=""),"Unknown (missing duration data)",IF(TODAY()&gt;Q107,"Completed",IF(TODAY()&lt;P107,"Upcoming","Ongoing")))</f>
        <v>Unknown (missing duration data)</v>
      </c>
    </row>
    <row r="159" spans="1:8" ht="51" x14ac:dyDescent="0.25">
      <c r="A159" s="24" t="s">
        <v>197</v>
      </c>
      <c r="B159" s="24" t="s">
        <v>209</v>
      </c>
      <c r="C159" s="24" t="s">
        <v>203</v>
      </c>
      <c r="D159" s="24" t="s">
        <v>52</v>
      </c>
      <c r="E159" s="24" t="s">
        <v>88</v>
      </c>
      <c r="F159" s="27" t="s">
        <v>227</v>
      </c>
      <c r="G159" s="24" t="s">
        <v>18</v>
      </c>
      <c r="H159" s="24" t="str">
        <f ca="1">IF(OR(P91="",Q91=""),"Unknown (missing duration data)",IF(TODAY()&gt;Q91,"Completed",IF(TODAY()&lt;P91,"Upcoming","Ongoing")))</f>
        <v>Unknown (missing duration data)</v>
      </c>
    </row>
    <row r="160" spans="1:8" ht="51" x14ac:dyDescent="0.25">
      <c r="A160" s="24" t="s">
        <v>197</v>
      </c>
      <c r="B160" s="24" t="s">
        <v>209</v>
      </c>
      <c r="C160" s="24" t="s">
        <v>203</v>
      </c>
      <c r="D160" s="24" t="s">
        <v>55</v>
      </c>
      <c r="E160" s="24" t="s">
        <v>88</v>
      </c>
      <c r="F160" s="27" t="s">
        <v>228</v>
      </c>
      <c r="G160" s="24" t="s">
        <v>20</v>
      </c>
      <c r="H160" s="24" t="str">
        <f ca="1">IF(OR(P95="",Q95=""),"Unknown (missing duration data)",IF(TODAY()&gt;Q95,"Completed",IF(TODAY()&lt;P95,"Upcoming","Ongoing")))</f>
        <v>Unknown (missing duration data)</v>
      </c>
    </row>
    <row r="161" spans="1:8" ht="51" x14ac:dyDescent="0.25">
      <c r="A161" s="24" t="s">
        <v>197</v>
      </c>
      <c r="B161" s="24" t="s">
        <v>229</v>
      </c>
      <c r="C161" s="24" t="s">
        <v>199</v>
      </c>
      <c r="D161" s="24" t="s">
        <v>37</v>
      </c>
      <c r="E161" s="24" t="s">
        <v>88</v>
      </c>
      <c r="F161" s="27" t="s">
        <v>230</v>
      </c>
      <c r="G161" s="24" t="s">
        <v>20</v>
      </c>
      <c r="H161" s="24" t="str">
        <f ca="1">IF(OR(P129="",Q129=""),"Unknown (missing duration data)",IF(TODAY()&gt;Q129,"Completed",IF(TODAY()&lt;P129,"Upcoming","Ongoing")))</f>
        <v>Unknown (missing duration data)</v>
      </c>
    </row>
    <row r="162" spans="1:8" ht="51" x14ac:dyDescent="0.25">
      <c r="A162" s="24" t="s">
        <v>197</v>
      </c>
      <c r="B162" s="24" t="s">
        <v>229</v>
      </c>
      <c r="C162" s="24" t="s">
        <v>199</v>
      </c>
      <c r="D162" s="24" t="s">
        <v>70</v>
      </c>
      <c r="E162" s="24" t="s">
        <v>92</v>
      </c>
      <c r="F162" s="27" t="s">
        <v>231</v>
      </c>
      <c r="G162" s="24" t="s">
        <v>20</v>
      </c>
      <c r="H162" s="24" t="str">
        <f ca="1">IF(OR(P130="",Q130=""),"Unknown (missing duration data)",IF(TODAY()&gt;Q130,"Completed",IF(TODAY()&lt;P130,"Upcoming","Ongoing")))</f>
        <v>Unknown (missing duration data)</v>
      </c>
    </row>
    <row r="163" spans="1:8" ht="51" x14ac:dyDescent="0.25">
      <c r="A163" s="24" t="s">
        <v>197</v>
      </c>
      <c r="B163" s="24" t="s">
        <v>229</v>
      </c>
      <c r="C163" s="24" t="s">
        <v>199</v>
      </c>
      <c r="D163" s="24" t="s">
        <v>44</v>
      </c>
      <c r="E163" s="24" t="s">
        <v>88</v>
      </c>
      <c r="F163" s="27" t="s">
        <v>232</v>
      </c>
      <c r="G163" s="24" t="s">
        <v>19</v>
      </c>
      <c r="H163" s="24" t="str">
        <f ca="1">IF(OR(P126="",Q126=""),"Unknown (missing duration data)",IF(TODAY()&gt;Q126,"Completed",IF(TODAY()&lt;P126,"Upcoming","Ongoing")))</f>
        <v>Unknown (missing duration data)</v>
      </c>
    </row>
    <row r="164" spans="1:8" ht="51" x14ac:dyDescent="0.25">
      <c r="A164" s="24" t="s">
        <v>197</v>
      </c>
      <c r="B164" s="24" t="s">
        <v>229</v>
      </c>
      <c r="C164" s="24" t="s">
        <v>199</v>
      </c>
      <c r="D164" s="24" t="s">
        <v>45</v>
      </c>
      <c r="E164" s="24" t="s">
        <v>88</v>
      </c>
      <c r="F164" s="27" t="s">
        <v>233</v>
      </c>
      <c r="G164" s="24" t="s">
        <v>19</v>
      </c>
      <c r="H164" s="24" t="str">
        <f ca="1">IF(OR(P127="",Q127=""),"Unknown (missing duration data)",IF(TODAY()&gt;Q127,"Completed",IF(TODAY()&lt;P127,"Upcoming","Ongoing")))</f>
        <v>Unknown (missing duration data)</v>
      </c>
    </row>
    <row r="165" spans="1:8" ht="51" x14ac:dyDescent="0.25">
      <c r="A165" s="24" t="s">
        <v>197</v>
      </c>
      <c r="B165" s="24" t="s">
        <v>229</v>
      </c>
      <c r="C165" s="24" t="s">
        <v>199</v>
      </c>
      <c r="D165" s="24" t="s">
        <v>46</v>
      </c>
      <c r="E165" s="24" t="s">
        <v>88</v>
      </c>
      <c r="F165" s="27" t="s">
        <v>234</v>
      </c>
      <c r="G165" s="24" t="s">
        <v>19</v>
      </c>
      <c r="H165" s="24" t="str">
        <f ca="1">IF(OR(P128="",Q128=""),"Unknown (missing duration data)",IF(TODAY()&gt;Q128,"Completed",IF(TODAY()&lt;P128,"Upcoming","Ongoing")))</f>
        <v>Unknown (missing duration data)</v>
      </c>
    </row>
    <row r="166" spans="1:8" ht="51" x14ac:dyDescent="0.25">
      <c r="A166" s="24" t="s">
        <v>197</v>
      </c>
      <c r="B166" s="24" t="s">
        <v>229</v>
      </c>
      <c r="C166" s="24" t="s">
        <v>199</v>
      </c>
      <c r="D166" s="24" t="s">
        <v>48</v>
      </c>
      <c r="E166" s="24" t="s">
        <v>88</v>
      </c>
      <c r="F166" s="27" t="s">
        <v>235</v>
      </c>
      <c r="G166" s="24" t="s">
        <v>18</v>
      </c>
      <c r="H166" s="24" t="str">
        <f ca="1">IF(OR(P123="",Q123=""),"Unknown (missing duration data)",IF(TODAY()&gt;Q123,"Completed",IF(TODAY()&lt;P123,"Upcoming","Ongoing")))</f>
        <v>Unknown (missing duration data)</v>
      </c>
    </row>
    <row r="167" spans="1:8" ht="51" x14ac:dyDescent="0.25">
      <c r="A167" s="24" t="s">
        <v>197</v>
      </c>
      <c r="B167" s="24" t="s">
        <v>229</v>
      </c>
      <c r="C167" s="24" t="s">
        <v>199</v>
      </c>
      <c r="D167" s="24" t="s">
        <v>49</v>
      </c>
      <c r="E167" s="24" t="s">
        <v>88</v>
      </c>
      <c r="F167" s="27" t="s">
        <v>236</v>
      </c>
      <c r="G167" s="24" t="s">
        <v>18</v>
      </c>
      <c r="H167" s="24" t="str">
        <f ca="1">IF(OR(P124="",Q124=""),"Unknown (missing duration data)",IF(TODAY()&gt;Q124,"Completed",IF(TODAY()&lt;P124,"Upcoming","Ongoing")))</f>
        <v>Unknown (missing duration data)</v>
      </c>
    </row>
    <row r="168" spans="1:8" ht="51" x14ac:dyDescent="0.25">
      <c r="A168" s="24" t="s">
        <v>197</v>
      </c>
      <c r="B168" s="24" t="s">
        <v>229</v>
      </c>
      <c r="C168" s="24" t="s">
        <v>199</v>
      </c>
      <c r="D168" s="24" t="s">
        <v>50</v>
      </c>
      <c r="E168" s="24" t="s">
        <v>88</v>
      </c>
      <c r="F168" s="27" t="s">
        <v>237</v>
      </c>
      <c r="G168" s="24" t="s">
        <v>18</v>
      </c>
      <c r="H168" s="24" t="str">
        <f ca="1">IF(OR(P125="",Q125=""),"Unknown (missing duration data)",IF(TODAY()&gt;Q125,"Completed",IF(TODAY()&lt;P125,"Upcoming","Ongoing")))</f>
        <v>Unknown (missing duration data)</v>
      </c>
    </row>
    <row r="169" spans="1:8" ht="51" x14ac:dyDescent="0.25">
      <c r="A169" s="24" t="s">
        <v>197</v>
      </c>
      <c r="B169" s="24" t="s">
        <v>229</v>
      </c>
      <c r="C169" s="24" t="s">
        <v>201</v>
      </c>
      <c r="D169" s="24" t="s">
        <v>52</v>
      </c>
      <c r="E169" s="24" t="s">
        <v>88</v>
      </c>
      <c r="F169" s="27" t="s">
        <v>238</v>
      </c>
      <c r="G169" s="24" t="s">
        <v>19</v>
      </c>
      <c r="H169" s="24" t="str">
        <f ca="1">IF(OR(P117="",Q117=""),"Unknown (missing duration data)",IF(TODAY()&gt;Q117,"Completed",IF(TODAY()&lt;P117,"Upcoming","Ongoing")))</f>
        <v>Unknown (missing duration data)</v>
      </c>
    </row>
    <row r="170" spans="1:8" ht="51" x14ac:dyDescent="0.25">
      <c r="A170" s="24" t="s">
        <v>197</v>
      </c>
      <c r="B170" s="24" t="s">
        <v>229</v>
      </c>
      <c r="C170" s="24" t="s">
        <v>199</v>
      </c>
      <c r="D170" s="24" t="s">
        <v>53</v>
      </c>
      <c r="E170" s="24" t="s">
        <v>88</v>
      </c>
      <c r="F170" s="27" t="s">
        <v>239</v>
      </c>
      <c r="G170" s="24" t="s">
        <v>18</v>
      </c>
      <c r="H170" s="24" t="str">
        <f ca="1">IF(OR(P119="",Q119=""),"Unknown (missing duration data)",IF(TODAY()&gt;Q119,"Completed",IF(TODAY()&lt;P119,"Upcoming","Ongoing")))</f>
        <v>Unknown (missing duration data)</v>
      </c>
    </row>
    <row r="171" spans="1:8" ht="51" x14ac:dyDescent="0.25">
      <c r="A171" s="24" t="s">
        <v>197</v>
      </c>
      <c r="B171" s="24" t="s">
        <v>229</v>
      </c>
      <c r="C171" s="24" t="s">
        <v>199</v>
      </c>
      <c r="D171" s="24" t="s">
        <v>55</v>
      </c>
      <c r="E171" s="24" t="s">
        <v>88</v>
      </c>
      <c r="F171" s="27" t="s">
        <v>240</v>
      </c>
      <c r="G171" s="24" t="s">
        <v>18</v>
      </c>
      <c r="H171" s="24" t="str">
        <f ca="1">IF(OR(P120="",Q120=""),"Unknown (missing duration data)",IF(TODAY()&gt;Q120,"Completed",IF(TODAY()&lt;P120,"Upcoming","Ongoing")))</f>
        <v>Unknown (missing duration data)</v>
      </c>
    </row>
    <row r="172" spans="1:8" ht="51" x14ac:dyDescent="0.25">
      <c r="A172" s="24" t="s">
        <v>197</v>
      </c>
      <c r="B172" s="24" t="s">
        <v>229</v>
      </c>
      <c r="C172" s="24" t="s">
        <v>199</v>
      </c>
      <c r="D172" s="24" t="s">
        <v>56</v>
      </c>
      <c r="E172" s="24" t="s">
        <v>88</v>
      </c>
      <c r="F172" s="27" t="s">
        <v>241</v>
      </c>
      <c r="G172" s="24" t="s">
        <v>18</v>
      </c>
      <c r="H172" s="24" t="str">
        <f ca="1">IF(OR(P121="",Q121=""),"Unknown (missing duration data)",IF(TODAY()&gt;Q121,"Completed",IF(TODAY()&lt;P121,"Upcoming","Ongoing")))</f>
        <v>Unknown (missing duration data)</v>
      </c>
    </row>
    <row r="173" spans="1:8" ht="51" x14ac:dyDescent="0.25">
      <c r="A173" s="24" t="s">
        <v>197</v>
      </c>
      <c r="B173" s="24" t="s">
        <v>229</v>
      </c>
      <c r="C173" s="24" t="s">
        <v>199</v>
      </c>
      <c r="D173" s="24" t="s">
        <v>58</v>
      </c>
      <c r="E173" s="24" t="s">
        <v>88</v>
      </c>
      <c r="F173" s="27" t="s">
        <v>242</v>
      </c>
      <c r="G173" s="24" t="s">
        <v>18</v>
      </c>
      <c r="H173" s="24" t="str">
        <f ca="1">IF(OR(P122="",Q122=""),"Unknown (missing duration data)",IF(TODAY()&gt;Q122,"Completed",IF(TODAY()&lt;P122,"Upcoming","Ongoing")))</f>
        <v>Unknown (missing duration data)</v>
      </c>
    </row>
    <row r="174" spans="1:8" ht="51" x14ac:dyDescent="0.25">
      <c r="A174" s="24" t="s">
        <v>197</v>
      </c>
      <c r="B174" s="24" t="s">
        <v>201</v>
      </c>
      <c r="C174" s="24" t="s">
        <v>199</v>
      </c>
      <c r="D174" s="24" t="s">
        <v>52</v>
      </c>
      <c r="E174" s="24" t="s">
        <v>88</v>
      </c>
      <c r="F174" s="27" t="s">
        <v>243</v>
      </c>
      <c r="G174" s="24" t="s">
        <v>19</v>
      </c>
      <c r="H174" s="24" t="str">
        <f ca="1">IF(OR(P118="",Q118=""),"Unknown (missing duration data)",IF(TODAY()&gt;Q118,"Completed",IF(TODAY()&lt;P118,"Upcoming","Ongoing")))</f>
        <v>Unknown (missing duration data)</v>
      </c>
    </row>
    <row r="175" spans="1:8" ht="51" x14ac:dyDescent="0.25">
      <c r="A175" s="24" t="s">
        <v>244</v>
      </c>
      <c r="B175" s="24" t="s">
        <v>245</v>
      </c>
      <c r="C175" s="24" t="s">
        <v>199</v>
      </c>
      <c r="D175" s="24" t="s">
        <v>43</v>
      </c>
      <c r="E175" s="24" t="s">
        <v>88</v>
      </c>
      <c r="F175" s="27" t="s">
        <v>246</v>
      </c>
      <c r="G175" s="24" t="s">
        <v>20</v>
      </c>
      <c r="H175" s="24" t="str">
        <f ca="1">IF(OR(P165="",Q165=""),"Unknown (missing duration data)",IF(TODAY()&gt;Q165,"Completed",IF(TODAY()&lt;P165,"Upcoming","Ongoing")))</f>
        <v>Unknown (missing duration data)</v>
      </c>
    </row>
    <row r="176" spans="1:8" ht="51" x14ac:dyDescent="0.25">
      <c r="A176" s="24" t="s">
        <v>244</v>
      </c>
      <c r="B176" s="24" t="s">
        <v>198</v>
      </c>
      <c r="C176" s="24" t="s">
        <v>199</v>
      </c>
      <c r="D176" s="24" t="s">
        <v>34</v>
      </c>
      <c r="E176" s="24" t="s">
        <v>88</v>
      </c>
      <c r="F176" s="27" t="s">
        <v>247</v>
      </c>
      <c r="G176" s="24" t="s">
        <v>19</v>
      </c>
      <c r="H176" s="24" t="str">
        <f ca="1">IF(OR(P141="",Q141=""),"Unknown (missing duration data)",IF(TODAY()&gt;Q141,"Completed",IF(TODAY()&lt;P141,"Upcoming","Ongoing")))</f>
        <v>Unknown (missing duration data)</v>
      </c>
    </row>
    <row r="177" spans="1:8" ht="51" x14ac:dyDescent="0.25">
      <c r="A177" s="24" t="s">
        <v>244</v>
      </c>
      <c r="B177" s="24" t="s">
        <v>198</v>
      </c>
      <c r="C177" s="24" t="s">
        <v>199</v>
      </c>
      <c r="D177" s="24" t="s">
        <v>35</v>
      </c>
      <c r="E177" s="24" t="s">
        <v>88</v>
      </c>
      <c r="F177" s="27" t="s">
        <v>248</v>
      </c>
      <c r="G177" s="24" t="s">
        <v>19</v>
      </c>
      <c r="H177" s="24" t="str">
        <f ca="1">IF(OR(P136="",Q136=""),"Unknown (missing duration data)",IF(TODAY()&gt;Q136,"Completed",IF(TODAY()&lt;P136,"Upcoming","Ongoing")))</f>
        <v>Unknown (missing duration data)</v>
      </c>
    </row>
    <row r="178" spans="1:8" ht="51" x14ac:dyDescent="0.25">
      <c r="A178" s="24" t="s">
        <v>244</v>
      </c>
      <c r="B178" s="24" t="s">
        <v>198</v>
      </c>
      <c r="C178" s="24" t="s">
        <v>199</v>
      </c>
      <c r="D178" s="24" t="s">
        <v>36</v>
      </c>
      <c r="E178" s="24" t="s">
        <v>88</v>
      </c>
      <c r="F178" s="27" t="s">
        <v>249</v>
      </c>
      <c r="G178" s="24" t="s">
        <v>19</v>
      </c>
      <c r="H178" s="24" t="str">
        <f ca="1">IF(OR(P137="",Q137=""),"Unknown (missing duration data)",IF(TODAY()&gt;Q137,"Completed",IF(TODAY()&lt;P137,"Upcoming","Ongoing")))</f>
        <v>Unknown (missing duration data)</v>
      </c>
    </row>
    <row r="179" spans="1:8" ht="51" x14ac:dyDescent="0.25">
      <c r="A179" s="24" t="s">
        <v>244</v>
      </c>
      <c r="B179" s="24" t="s">
        <v>198</v>
      </c>
      <c r="C179" s="24" t="s">
        <v>199</v>
      </c>
      <c r="D179" s="24" t="s">
        <v>37</v>
      </c>
      <c r="E179" s="24" t="s">
        <v>88</v>
      </c>
      <c r="F179" s="27" t="s">
        <v>250</v>
      </c>
      <c r="G179" s="24" t="s">
        <v>19</v>
      </c>
      <c r="H179" s="24" t="str">
        <f ca="1">IF(OR(P138="",Q138=""),"Unknown (missing duration data)",IF(TODAY()&gt;Q138,"Completed",IF(TODAY()&lt;P138,"Upcoming","Ongoing")))</f>
        <v>Unknown (missing duration data)</v>
      </c>
    </row>
    <row r="180" spans="1:8" ht="51" x14ac:dyDescent="0.25">
      <c r="A180" s="24" t="s">
        <v>244</v>
      </c>
      <c r="B180" s="24" t="s">
        <v>198</v>
      </c>
      <c r="C180" s="24" t="s">
        <v>199</v>
      </c>
      <c r="D180" s="24" t="s">
        <v>38</v>
      </c>
      <c r="E180" s="24" t="s">
        <v>88</v>
      </c>
      <c r="F180" s="27" t="s">
        <v>251</v>
      </c>
      <c r="G180" s="24" t="s">
        <v>19</v>
      </c>
      <c r="H180" s="24" t="str">
        <f ca="1">IF(OR(P139="",Q139=""),"Unknown (missing duration data)",IF(TODAY()&gt;Q139,"Completed",IF(TODAY()&lt;P139,"Upcoming","Ongoing")))</f>
        <v>Unknown (missing duration data)</v>
      </c>
    </row>
    <row r="181" spans="1:8" ht="51" x14ac:dyDescent="0.25">
      <c r="A181" s="24" t="s">
        <v>244</v>
      </c>
      <c r="B181" s="24" t="s">
        <v>198</v>
      </c>
      <c r="C181" s="24" t="s">
        <v>199</v>
      </c>
      <c r="D181" s="24" t="s">
        <v>41</v>
      </c>
      <c r="E181" s="24" t="s">
        <v>88</v>
      </c>
      <c r="F181" s="27" t="s">
        <v>252</v>
      </c>
      <c r="G181" s="24" t="s">
        <v>18</v>
      </c>
      <c r="H181" s="24" t="str">
        <f ca="1">IF(OR(P142="",Q142=""),"Unknown (missing duration data)",IF(TODAY()&gt;Q142,"Completed",IF(TODAY()&lt;P142,"Upcoming","Ongoing")))</f>
        <v>Unknown (missing duration data)</v>
      </c>
    </row>
    <row r="182" spans="1:8" ht="51" x14ac:dyDescent="0.25">
      <c r="A182" s="24" t="s">
        <v>244</v>
      </c>
      <c r="B182" s="24" t="s">
        <v>198</v>
      </c>
      <c r="C182" s="24" t="s">
        <v>203</v>
      </c>
      <c r="D182" s="24" t="s">
        <v>44</v>
      </c>
      <c r="E182" s="24" t="s">
        <v>88</v>
      </c>
      <c r="F182" s="27" t="s">
        <v>253</v>
      </c>
      <c r="G182" s="24" t="s">
        <v>18</v>
      </c>
      <c r="H182" s="24" t="str">
        <f ca="1">IF(OR(P157="",Q157=""),"Unknown (missing duration data)",IF(TODAY()&gt;Q157,"Completed",IF(TODAY()&lt;P157,"Upcoming","Ongoing")))</f>
        <v>Unknown (missing duration data)</v>
      </c>
    </row>
    <row r="183" spans="1:8" ht="51" x14ac:dyDescent="0.25">
      <c r="A183" s="24" t="s">
        <v>244</v>
      </c>
      <c r="B183" s="24" t="s">
        <v>198</v>
      </c>
      <c r="C183" s="24" t="s">
        <v>199</v>
      </c>
      <c r="D183" s="24" t="s">
        <v>45</v>
      </c>
      <c r="E183" s="24" t="s">
        <v>88</v>
      </c>
      <c r="F183" s="27" t="s">
        <v>254</v>
      </c>
      <c r="G183" s="24" t="s">
        <v>255</v>
      </c>
      <c r="H183" s="24" t="str">
        <f ca="1">IF(OR(P135="",Q135=""),"Unknown (missing duration data)",IF(TODAY()&gt;Q135,"Completed",IF(TODAY()&lt;P135,"Upcoming","Ongoing")))</f>
        <v>Unknown (missing duration data)</v>
      </c>
    </row>
    <row r="184" spans="1:8" ht="51" x14ac:dyDescent="0.25">
      <c r="A184" s="24" t="s">
        <v>244</v>
      </c>
      <c r="B184" s="24" t="s">
        <v>198</v>
      </c>
      <c r="C184" s="24" t="s">
        <v>203</v>
      </c>
      <c r="D184" s="24" t="s">
        <v>46</v>
      </c>
      <c r="E184" s="24" t="s">
        <v>88</v>
      </c>
      <c r="F184" s="27" t="s">
        <v>256</v>
      </c>
      <c r="G184" s="24" t="s">
        <v>18</v>
      </c>
      <c r="H184" s="24" t="str">
        <f ca="1">IF(OR(P159="",Q159=""),"Unknown (missing duration data)",IF(TODAY()&gt;Q159,"Completed",IF(TODAY()&lt;P159,"Upcoming","Ongoing")))</f>
        <v>Unknown (missing duration data)</v>
      </c>
    </row>
    <row r="185" spans="1:8" ht="51" x14ac:dyDescent="0.25">
      <c r="A185" s="24" t="s">
        <v>244</v>
      </c>
      <c r="B185" s="24" t="s">
        <v>198</v>
      </c>
      <c r="C185" s="24" t="s">
        <v>203</v>
      </c>
      <c r="D185" s="24" t="s">
        <v>47</v>
      </c>
      <c r="E185" s="24" t="s">
        <v>88</v>
      </c>
      <c r="F185" s="27" t="s">
        <v>257</v>
      </c>
      <c r="G185" s="24" t="s">
        <v>18</v>
      </c>
      <c r="H185" s="24" t="str">
        <f ca="1">IF(OR(P161="",Q161=""),"Unknown (missing duration data)",IF(TODAY()&gt;Q161,"Completed",IF(TODAY()&lt;P161,"Upcoming","Ongoing")))</f>
        <v>Unknown (missing duration data)</v>
      </c>
    </row>
    <row r="186" spans="1:8" ht="51" x14ac:dyDescent="0.25">
      <c r="A186" s="24" t="s">
        <v>244</v>
      </c>
      <c r="B186" s="24" t="s">
        <v>198</v>
      </c>
      <c r="C186" s="24" t="s">
        <v>203</v>
      </c>
      <c r="D186" s="24" t="s">
        <v>48</v>
      </c>
      <c r="E186" s="24" t="s">
        <v>88</v>
      </c>
      <c r="F186" s="27" t="s">
        <v>258</v>
      </c>
      <c r="G186" s="24" t="s">
        <v>18</v>
      </c>
      <c r="H186" s="24" t="str">
        <f ca="1">IF(OR(P151="",Q151=""),"Unknown (missing duration data)",IF(TODAY()&gt;Q151,"Completed",IF(TODAY()&lt;P151,"Upcoming","Ongoing")))</f>
        <v>Unknown (missing duration data)</v>
      </c>
    </row>
    <row r="187" spans="1:8" ht="51" x14ac:dyDescent="0.25">
      <c r="A187" s="24" t="s">
        <v>244</v>
      </c>
      <c r="B187" s="24" t="s">
        <v>198</v>
      </c>
      <c r="C187" s="24" t="s">
        <v>203</v>
      </c>
      <c r="D187" s="24" t="s">
        <v>49</v>
      </c>
      <c r="E187" s="24" t="s">
        <v>88</v>
      </c>
      <c r="F187" s="27" t="s">
        <v>259</v>
      </c>
      <c r="G187" s="24" t="s">
        <v>18</v>
      </c>
      <c r="H187" s="24" t="str">
        <f ca="1">IF(OR(P153="",Q153=""),"Unknown (missing duration data)",IF(TODAY()&gt;Q153,"Completed",IF(TODAY()&lt;P153,"Upcoming","Ongoing")))</f>
        <v>Unknown (missing duration data)</v>
      </c>
    </row>
    <row r="188" spans="1:8" ht="51" x14ac:dyDescent="0.25">
      <c r="A188" s="24" t="s">
        <v>244</v>
      </c>
      <c r="B188" s="24" t="s">
        <v>198</v>
      </c>
      <c r="C188" s="24" t="s">
        <v>203</v>
      </c>
      <c r="D188" s="24" t="s">
        <v>50</v>
      </c>
      <c r="E188" s="24" t="s">
        <v>88</v>
      </c>
      <c r="F188" s="27" t="s">
        <v>260</v>
      </c>
      <c r="G188" s="24" t="s">
        <v>19</v>
      </c>
      <c r="H188" s="24" t="str">
        <f ca="1">IF(OR(P155="",Q155=""),"Unknown (missing duration data)",IF(TODAY()&gt;Q155,"Completed",IF(TODAY()&lt;P155,"Upcoming","Ongoing")))</f>
        <v>Unknown (missing duration data)</v>
      </c>
    </row>
    <row r="189" spans="1:8" ht="51" x14ac:dyDescent="0.25">
      <c r="A189" s="24" t="s">
        <v>244</v>
      </c>
      <c r="B189" s="24" t="s">
        <v>198</v>
      </c>
      <c r="C189" s="24" t="s">
        <v>199</v>
      </c>
      <c r="D189" s="24" t="s">
        <v>51</v>
      </c>
      <c r="E189" s="24" t="s">
        <v>88</v>
      </c>
      <c r="F189" s="27" t="s">
        <v>261</v>
      </c>
      <c r="G189" s="24" t="s">
        <v>18</v>
      </c>
      <c r="H189" s="24" t="str">
        <f ca="1">IF(OR(P134="",Q134=""),"Unknown (missing duration data)",IF(TODAY()&gt;Q134,"Completed",IF(TODAY()&lt;P134,"Upcoming","Ongoing")))</f>
        <v>Unknown (missing duration data)</v>
      </c>
    </row>
    <row r="190" spans="1:8" ht="51" x14ac:dyDescent="0.25">
      <c r="A190" s="24" t="s">
        <v>244</v>
      </c>
      <c r="B190" s="24" t="s">
        <v>198</v>
      </c>
      <c r="C190" s="24" t="s">
        <v>199</v>
      </c>
      <c r="D190" s="24" t="s">
        <v>52</v>
      </c>
      <c r="E190" s="24" t="s">
        <v>88</v>
      </c>
      <c r="F190" s="27" t="s">
        <v>262</v>
      </c>
      <c r="G190" s="24" t="s">
        <v>18</v>
      </c>
      <c r="H190" s="24" t="str">
        <f ca="1">IF(OR(P131="",Q131=""),"Unknown (missing duration data)",IF(TODAY()&gt;Q131,"Completed",IF(TODAY()&lt;P131,"Upcoming","Ongoing")))</f>
        <v>Unknown (missing duration data)</v>
      </c>
    </row>
    <row r="191" spans="1:8" ht="51" x14ac:dyDescent="0.25">
      <c r="A191" s="24" t="s">
        <v>244</v>
      </c>
      <c r="B191" s="24" t="s">
        <v>198</v>
      </c>
      <c r="C191" s="24" t="s">
        <v>199</v>
      </c>
      <c r="D191" s="24" t="s">
        <v>53</v>
      </c>
      <c r="E191" s="24" t="s">
        <v>88</v>
      </c>
      <c r="F191" s="27" t="s">
        <v>263</v>
      </c>
      <c r="G191" s="24" t="s">
        <v>18</v>
      </c>
      <c r="H191" s="24" t="str">
        <f ca="1">IF(OR(P132="",Q132=""),"Unknown (missing duration data)",IF(TODAY()&gt;Q132,"Completed",IF(TODAY()&lt;P132,"Upcoming","Ongoing")))</f>
        <v>Unknown (missing duration data)</v>
      </c>
    </row>
    <row r="192" spans="1:8" ht="51" x14ac:dyDescent="0.25">
      <c r="A192" s="24" t="s">
        <v>244</v>
      </c>
      <c r="B192" s="24" t="s">
        <v>198</v>
      </c>
      <c r="C192" s="24" t="s">
        <v>203</v>
      </c>
      <c r="D192" s="24" t="s">
        <v>54</v>
      </c>
      <c r="E192" s="24" t="s">
        <v>88</v>
      </c>
      <c r="F192" s="27" t="s">
        <v>264</v>
      </c>
      <c r="G192" s="24" t="s">
        <v>18</v>
      </c>
      <c r="H192" s="24" t="str">
        <f ca="1">IF(OR(P143="",Q143=""),"Unknown (missing duration data)",IF(TODAY()&gt;Q143,"Completed",IF(TODAY()&lt;P143,"Upcoming","Ongoing")))</f>
        <v>Unknown (missing duration data)</v>
      </c>
    </row>
    <row r="193" spans="1:8" ht="51" x14ac:dyDescent="0.25">
      <c r="A193" s="24" t="s">
        <v>244</v>
      </c>
      <c r="B193" s="24" t="s">
        <v>198</v>
      </c>
      <c r="C193" s="24" t="s">
        <v>203</v>
      </c>
      <c r="D193" s="24" t="s">
        <v>55</v>
      </c>
      <c r="E193" s="24" t="s">
        <v>88</v>
      </c>
      <c r="F193" s="27" t="s">
        <v>265</v>
      </c>
      <c r="G193" s="24" t="s">
        <v>18</v>
      </c>
      <c r="H193" s="24" t="str">
        <f ca="1">IF(OR(P145="",Q145=""),"Unknown (missing duration data)",IF(TODAY()&gt;Q145,"Completed",IF(TODAY()&lt;P145,"Upcoming","Ongoing")))</f>
        <v>Unknown (missing duration data)</v>
      </c>
    </row>
    <row r="194" spans="1:8" ht="51" x14ac:dyDescent="0.25">
      <c r="A194" s="24" t="s">
        <v>244</v>
      </c>
      <c r="B194" s="24" t="s">
        <v>198</v>
      </c>
      <c r="C194" s="24" t="s">
        <v>203</v>
      </c>
      <c r="D194" s="24" t="s">
        <v>56</v>
      </c>
      <c r="E194" s="24" t="s">
        <v>88</v>
      </c>
      <c r="F194" s="27" t="s">
        <v>266</v>
      </c>
      <c r="G194" s="24" t="s">
        <v>18</v>
      </c>
      <c r="H194" s="24" t="str">
        <f ca="1">IF(OR(P147="",Q147=""),"Unknown (missing duration data)",IF(TODAY()&gt;Q147,"Completed",IF(TODAY()&lt;P147,"Upcoming","Ongoing")))</f>
        <v>Unknown (missing duration data)</v>
      </c>
    </row>
    <row r="195" spans="1:8" ht="51" x14ac:dyDescent="0.25">
      <c r="A195" s="24" t="s">
        <v>244</v>
      </c>
      <c r="B195" s="24" t="s">
        <v>198</v>
      </c>
      <c r="C195" s="24" t="s">
        <v>199</v>
      </c>
      <c r="D195" s="24" t="s">
        <v>57</v>
      </c>
      <c r="E195" s="24" t="s">
        <v>88</v>
      </c>
      <c r="F195" s="27" t="s">
        <v>267</v>
      </c>
      <c r="G195" s="24" t="s">
        <v>19</v>
      </c>
      <c r="H195" s="24" t="str">
        <f ca="1">IF(OR(P140="",Q140=""),"Unknown (missing duration data)",IF(TODAY()&gt;Q140,"Completed",IF(TODAY()&lt;P140,"Upcoming","Ongoing")))</f>
        <v>Unknown (missing duration data)</v>
      </c>
    </row>
    <row r="196" spans="1:8" ht="51" x14ac:dyDescent="0.25">
      <c r="A196" s="24" t="s">
        <v>244</v>
      </c>
      <c r="B196" s="24" t="s">
        <v>198</v>
      </c>
      <c r="C196" s="24" t="s">
        <v>199</v>
      </c>
      <c r="D196" s="24" t="s">
        <v>58</v>
      </c>
      <c r="E196" s="24" t="s">
        <v>88</v>
      </c>
      <c r="F196" s="27" t="s">
        <v>268</v>
      </c>
      <c r="G196" s="24" t="s">
        <v>18</v>
      </c>
      <c r="H196" s="24" t="str">
        <f ca="1">IF(OR(P133="",Q133=""),"Unknown (missing duration data)",IF(TODAY()&gt;Q133,"Completed",IF(TODAY()&lt;P133,"Upcoming","Ongoing")))</f>
        <v>Unknown (missing duration data)</v>
      </c>
    </row>
    <row r="197" spans="1:8" ht="51" x14ac:dyDescent="0.25">
      <c r="A197" s="24" t="s">
        <v>244</v>
      </c>
      <c r="B197" s="24" t="s">
        <v>198</v>
      </c>
      <c r="C197" s="24" t="s">
        <v>209</v>
      </c>
      <c r="D197" s="24" t="s">
        <v>59</v>
      </c>
      <c r="E197" s="24" t="s">
        <v>88</v>
      </c>
      <c r="F197" s="27" t="s">
        <v>269</v>
      </c>
      <c r="G197" s="24" t="s">
        <v>18</v>
      </c>
      <c r="H197" s="24" t="str">
        <f ca="1">IF(OR(P149="",Q149=""),"Unknown (missing duration data)",IF(TODAY()&gt;Q149,"Completed",IF(TODAY()&lt;P149,"Upcoming","Ongoing")))</f>
        <v>Unknown (missing duration data)</v>
      </c>
    </row>
    <row r="198" spans="1:8" ht="51" x14ac:dyDescent="0.25">
      <c r="A198" s="24" t="s">
        <v>244</v>
      </c>
      <c r="B198" s="24" t="s">
        <v>209</v>
      </c>
      <c r="C198" s="24" t="s">
        <v>201</v>
      </c>
      <c r="D198" s="24" t="s">
        <v>42</v>
      </c>
      <c r="E198" s="24" t="s">
        <v>88</v>
      </c>
      <c r="F198" s="27" t="s">
        <v>270</v>
      </c>
      <c r="G198" s="24" t="s">
        <v>18</v>
      </c>
      <c r="H198" s="24" t="str">
        <f ca="1">IF(OR(P163="",Q163=""),"Unknown (missing duration data)",IF(TODAY()&gt;Q163,"Completed",IF(TODAY()&lt;P163,"Upcoming","Ongoing")))</f>
        <v>Unknown (missing duration data)</v>
      </c>
    </row>
    <row r="199" spans="1:8" ht="51" x14ac:dyDescent="0.25">
      <c r="A199" s="24" t="s">
        <v>244</v>
      </c>
      <c r="B199" s="24" t="s">
        <v>209</v>
      </c>
      <c r="C199" s="24" t="s">
        <v>271</v>
      </c>
      <c r="D199" s="24" t="s">
        <v>43</v>
      </c>
      <c r="E199" s="24" t="s">
        <v>88</v>
      </c>
      <c r="F199" s="27" t="s">
        <v>272</v>
      </c>
      <c r="G199" s="24" t="s">
        <v>18</v>
      </c>
      <c r="H199" s="24" t="str">
        <f ca="1">IF(OR(P164="",Q164=""),"Unknown (missing duration data)",IF(TODAY()&gt;Q164,"Completed",IF(TODAY()&lt;P164,"Upcoming","Ongoing")))</f>
        <v>Unknown (missing duration data)</v>
      </c>
    </row>
    <row r="200" spans="1:8" ht="51" x14ac:dyDescent="0.25">
      <c r="A200" s="24" t="s">
        <v>244</v>
      </c>
      <c r="B200" s="24" t="s">
        <v>209</v>
      </c>
      <c r="C200" s="24" t="s">
        <v>199</v>
      </c>
      <c r="D200" s="24" t="s">
        <v>59</v>
      </c>
      <c r="E200" s="24" t="s">
        <v>88</v>
      </c>
      <c r="F200" s="27" t="s">
        <v>273</v>
      </c>
      <c r="G200" s="24" t="s">
        <v>18</v>
      </c>
      <c r="H200" s="24" t="str">
        <f ca="1">IF(OR(P150="",Q150=""),"Unknown (missing duration data)",IF(TODAY()&gt;Q150,"Completed",IF(TODAY()&lt;P150,"Upcoming","Ongoing")))</f>
        <v>Unknown (missing duration data)</v>
      </c>
    </row>
    <row r="201" spans="1:8" ht="51" x14ac:dyDescent="0.25">
      <c r="A201" s="24" t="s">
        <v>244</v>
      </c>
      <c r="B201" s="24" t="s">
        <v>229</v>
      </c>
      <c r="C201" s="24" t="s">
        <v>199</v>
      </c>
      <c r="D201" s="24" t="s">
        <v>48</v>
      </c>
      <c r="E201" s="24" t="s">
        <v>88</v>
      </c>
      <c r="F201" s="27" t="s">
        <v>274</v>
      </c>
      <c r="G201" s="24" t="s">
        <v>19</v>
      </c>
      <c r="H201" s="24" t="str">
        <f ca="1">IF(OR(P152="",Q152=""),"Unknown (missing duration data)",IF(TODAY()&gt;Q152,"Completed",IF(TODAY()&lt;P152,"Upcoming","Ongoing")))</f>
        <v>Unknown (missing duration data)</v>
      </c>
    </row>
    <row r="202" spans="1:8" ht="51" x14ac:dyDescent="0.25">
      <c r="A202" s="24" t="s">
        <v>244</v>
      </c>
      <c r="B202" s="24" t="s">
        <v>229</v>
      </c>
      <c r="C202" s="24" t="s">
        <v>199</v>
      </c>
      <c r="D202" s="24" t="s">
        <v>49</v>
      </c>
      <c r="E202" s="24" t="s">
        <v>88</v>
      </c>
      <c r="F202" s="27" t="s">
        <v>265</v>
      </c>
      <c r="G202" s="24" t="s">
        <v>18</v>
      </c>
      <c r="H202" s="24" t="str">
        <f ca="1">IF(OR(P154="",Q154=""),"Unknown (missing duration data)",IF(TODAY()&gt;Q154,"Completed",IF(TODAY()&lt;P154,"Upcoming","Ongoing")))</f>
        <v>Unknown (missing duration data)</v>
      </c>
    </row>
    <row r="203" spans="1:8" ht="51" x14ac:dyDescent="0.25">
      <c r="A203" s="24" t="s">
        <v>244</v>
      </c>
      <c r="B203" s="24" t="s">
        <v>229</v>
      </c>
      <c r="C203" s="24" t="s">
        <v>199</v>
      </c>
      <c r="D203" s="24" t="s">
        <v>50</v>
      </c>
      <c r="E203" s="24" t="s">
        <v>88</v>
      </c>
      <c r="F203" s="27" t="s">
        <v>275</v>
      </c>
      <c r="G203" s="24" t="s">
        <v>18</v>
      </c>
      <c r="H203" s="24" t="str">
        <f ca="1">IF(OR(P156="",Q156=""),"Unknown (missing duration data)",IF(TODAY()&gt;Q156,"Completed",IF(TODAY()&lt;P156,"Upcoming","Ongoing")))</f>
        <v>Unknown (missing duration data)</v>
      </c>
    </row>
    <row r="204" spans="1:8" ht="51" x14ac:dyDescent="0.25">
      <c r="A204" s="24" t="s">
        <v>244</v>
      </c>
      <c r="B204" s="24" t="s">
        <v>229</v>
      </c>
      <c r="C204" s="24" t="s">
        <v>199</v>
      </c>
      <c r="D204" s="24" t="s">
        <v>54</v>
      </c>
      <c r="E204" s="24" t="s">
        <v>88</v>
      </c>
      <c r="F204" s="27" t="s">
        <v>276</v>
      </c>
      <c r="G204" s="24" t="s">
        <v>18</v>
      </c>
      <c r="H204" s="24" t="str">
        <f ca="1">IF(OR(P144="",Q144=""),"Unknown (missing duration data)",IF(TODAY()&gt;Q144,"Completed",IF(TODAY()&lt;P144,"Upcoming","Ongoing")))</f>
        <v>Unknown (missing duration data)</v>
      </c>
    </row>
    <row r="205" spans="1:8" ht="51" x14ac:dyDescent="0.25">
      <c r="A205" s="24" t="s">
        <v>244</v>
      </c>
      <c r="B205" s="24" t="s">
        <v>229</v>
      </c>
      <c r="C205" s="24" t="s">
        <v>199</v>
      </c>
      <c r="D205" s="24" t="s">
        <v>55</v>
      </c>
      <c r="E205" s="24" t="s">
        <v>88</v>
      </c>
      <c r="F205" s="27" t="s">
        <v>277</v>
      </c>
      <c r="G205" s="24" t="s">
        <v>18</v>
      </c>
      <c r="H205" s="24" t="str">
        <f ca="1">IF(OR(P146="",Q146=""),"Unknown (missing duration data)",IF(TODAY()&gt;Q146,"Completed",IF(TODAY()&lt;P146,"Upcoming","Ongoing")))</f>
        <v>Unknown (missing duration data)</v>
      </c>
    </row>
    <row r="206" spans="1:8" ht="51" x14ac:dyDescent="0.25">
      <c r="A206" s="24" t="s">
        <v>244</v>
      </c>
      <c r="B206" s="24" t="s">
        <v>229</v>
      </c>
      <c r="C206" s="24" t="s">
        <v>199</v>
      </c>
      <c r="D206" s="24" t="s">
        <v>56</v>
      </c>
      <c r="E206" s="24" t="s">
        <v>88</v>
      </c>
      <c r="F206" s="27" t="s">
        <v>278</v>
      </c>
      <c r="G206" s="24" t="s">
        <v>18</v>
      </c>
      <c r="H206" s="24" t="str">
        <f ca="1">IF(OR(P148="",Q148=""),"Unknown (missing duration data)",IF(TODAY()&gt;Q148,"Completed",IF(TODAY()&lt;P148,"Upcoming","Ongoing")))</f>
        <v>Unknown (missing duration data)</v>
      </c>
    </row>
    <row r="207" spans="1:8" ht="51" x14ac:dyDescent="0.25">
      <c r="A207" s="24" t="s">
        <v>244</v>
      </c>
      <c r="B207" s="24" t="s">
        <v>201</v>
      </c>
      <c r="C207" s="24" t="s">
        <v>199</v>
      </c>
      <c r="D207" s="24" t="s">
        <v>44</v>
      </c>
      <c r="E207" s="24" t="s">
        <v>88</v>
      </c>
      <c r="F207" s="27" t="s">
        <v>279</v>
      </c>
      <c r="G207" s="24" t="s">
        <v>18</v>
      </c>
      <c r="H207" s="24" t="str">
        <f ca="1">IF(OR(P158="",Q158=""),"Unknown (missing duration data)",IF(TODAY()&gt;Q158,"Completed",IF(TODAY()&lt;P158,"Upcoming","Ongoing")))</f>
        <v>Unknown (missing duration data)</v>
      </c>
    </row>
    <row r="208" spans="1:8" ht="51" x14ac:dyDescent="0.25">
      <c r="A208" s="24" t="s">
        <v>244</v>
      </c>
      <c r="B208" s="24" t="s">
        <v>201</v>
      </c>
      <c r="C208" s="24" t="s">
        <v>199</v>
      </c>
      <c r="D208" s="24" t="s">
        <v>46</v>
      </c>
      <c r="E208" s="24" t="s">
        <v>88</v>
      </c>
      <c r="F208" s="27" t="s">
        <v>257</v>
      </c>
      <c r="G208" s="24" t="s">
        <v>18</v>
      </c>
      <c r="H208" s="24" t="str">
        <f ca="1">IF(OR(P160="",Q160=""),"Unknown (missing duration data)",IF(TODAY()&gt;Q160,"Completed",IF(TODAY()&lt;P160,"Upcoming","Ongoing")))</f>
        <v>Unknown (missing duration data)</v>
      </c>
    </row>
    <row r="209" spans="1:8" ht="51" x14ac:dyDescent="0.25">
      <c r="A209" s="24" t="s">
        <v>244</v>
      </c>
      <c r="B209" s="24" t="s">
        <v>201</v>
      </c>
      <c r="C209" s="24" t="s">
        <v>199</v>
      </c>
      <c r="D209" s="24" t="s">
        <v>47</v>
      </c>
      <c r="E209" s="24" t="s">
        <v>88</v>
      </c>
      <c r="F209" s="27" t="s">
        <v>280</v>
      </c>
      <c r="G209" s="24"/>
      <c r="H209" s="24" t="str">
        <f ca="1">IF(OR(P162="",Q162=""),"Unknown (missing duration data)",IF(TODAY()&gt;Q162,"Completed",IF(TODAY()&lt;P162,"Upcoming","Ongoing")))</f>
        <v>Unknown (missing duration data)</v>
      </c>
    </row>
  </sheetData>
  <mergeCells count="11">
    <mergeCell ref="A1:H2"/>
    <mergeCell ref="A3:H3"/>
    <mergeCell ref="A5:H5"/>
    <mergeCell ref="B7:C7"/>
    <mergeCell ref="E7:F7"/>
    <mergeCell ref="G7:H7"/>
    <mergeCell ref="B8:C8"/>
    <mergeCell ref="D8:H8"/>
    <mergeCell ref="B10:H10"/>
    <mergeCell ref="B11:H11"/>
    <mergeCell ref="A44:H44"/>
  </mergeCells>
  <conditionalFormatting sqref="A14:F41">
    <cfRule type="expression" dxfId="9" priority="4">
      <formula>$C14="Occupied"</formula>
    </cfRule>
    <cfRule type="expression" dxfId="8" priority="5">
      <formula>$C14="Free"</formula>
    </cfRule>
  </conditionalFormatting>
  <conditionalFormatting sqref="C14:C41">
    <cfRule type="expression" dxfId="7" priority="2">
      <formula>$C14="Free"</formula>
    </cfRule>
    <cfRule type="expression" dxfId="6" priority="3">
      <formula>$C14="Occupied"</formula>
    </cfRule>
  </conditionalFormatting>
  <conditionalFormatting sqref="H47:H209">
    <cfRule type="expression" dxfId="5" priority="6">
      <formula>$H47="Ongoing"</formula>
    </cfRule>
    <cfRule type="expression" dxfId="4" priority="7">
      <formula>$H47="Completed"</formula>
    </cfRule>
  </conditionalFormatting>
  <dataValidations count="3">
    <dataValidation type="list" errorTitle="Invalid day" error="Please choose a day from the list." sqref="B7" xr:uid="{00000000-0002-0000-0300-000000000000}">
      <formula1>"Monday,Tuesday,Wednesday,Thursday,Friday,Saturday,Sunday"</formula1>
      <formula2>0</formula2>
    </dataValidation>
    <dataValidation type="list" errorTitle="Invalid time" error="Please pick a time from the list." sqref="E7" xr:uid="{00000000-0002-0000-0300-000001000000}">
      <formula1>$J$15:$J$71</formula1>
      <formula2>0</formula2>
    </dataValidation>
    <dataValidation type="list" errorTitle="Invalid month" error="Please pick a month from the list." sqref="B8" xr:uid="{00000000-0002-0000-0300-000002000000}">
      <formula1>$K$15:$K$37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/>
  <dimension ref="A1:T167"/>
  <sheetViews>
    <sheetView showGridLines="0" topLeftCell="O1" zoomScaleNormal="100" workbookViewId="0">
      <pane ySplit="2" topLeftCell="A24" activePane="bottomLeft" state="frozen"/>
      <selection pane="bottomLeft" activeCell="T32" sqref="T32"/>
    </sheetView>
  </sheetViews>
  <sheetFormatPr defaultColWidth="8.7109375" defaultRowHeight="15" x14ac:dyDescent="0.25"/>
  <cols>
    <col min="1" max="1" width="6" customWidth="1"/>
    <col min="2" max="2" width="11" customWidth="1"/>
    <col min="3" max="3" width="15.140625" customWidth="1"/>
    <col min="4" max="4" width="17" customWidth="1"/>
    <col min="5" max="6" width="9" customWidth="1"/>
    <col min="7" max="8" width="7" customWidth="1"/>
    <col min="9" max="9" width="13" customWidth="1"/>
    <col min="10" max="10" width="16" customWidth="1"/>
    <col min="11" max="11" width="23.28515625" customWidth="1"/>
    <col min="12" max="12" width="38" customWidth="1"/>
    <col min="13" max="13" width="10" customWidth="1"/>
    <col min="14" max="14" width="14" customWidth="1"/>
    <col min="15" max="15" width="42" customWidth="1"/>
    <col min="16" max="17" width="12" customWidth="1"/>
    <col min="18" max="18" width="15" customWidth="1"/>
    <col min="19" max="19" width="20" customWidth="1"/>
    <col min="20" max="20" width="10" customWidth="1"/>
  </cols>
  <sheetData>
    <row r="1" spans="1:20" ht="16.5" customHeight="1" x14ac:dyDescent="0.25">
      <c r="A1" s="59" t="s">
        <v>281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 spans="1:20" ht="33.75" customHeight="1" x14ac:dyDescent="0.25">
      <c r="A2" s="2" t="s">
        <v>282</v>
      </c>
      <c r="B2" s="2" t="s">
        <v>94</v>
      </c>
      <c r="C2" s="2" t="s">
        <v>283</v>
      </c>
      <c r="D2" s="2" t="s">
        <v>284</v>
      </c>
      <c r="E2" s="2" t="s">
        <v>285</v>
      </c>
      <c r="F2" s="2" t="s">
        <v>286</v>
      </c>
      <c r="G2" s="2" t="s">
        <v>287</v>
      </c>
      <c r="H2" s="2" t="s">
        <v>288</v>
      </c>
      <c r="I2" s="2" t="s">
        <v>289</v>
      </c>
      <c r="J2" s="2" t="s">
        <v>33</v>
      </c>
      <c r="K2" s="2" t="s">
        <v>84</v>
      </c>
      <c r="L2" s="2" t="s">
        <v>97</v>
      </c>
      <c r="M2" s="2" t="s">
        <v>15</v>
      </c>
      <c r="N2" s="2" t="s">
        <v>290</v>
      </c>
      <c r="O2" s="2" t="s">
        <v>291</v>
      </c>
      <c r="P2" s="2" t="s">
        <v>292</v>
      </c>
      <c r="Q2" s="2" t="s">
        <v>293</v>
      </c>
      <c r="R2" s="2" t="s">
        <v>294</v>
      </c>
      <c r="S2" s="2" t="s">
        <v>295</v>
      </c>
      <c r="T2" s="2" t="s">
        <v>296</v>
      </c>
    </row>
    <row r="3" spans="1:20" x14ac:dyDescent="0.25">
      <c r="A3" s="4">
        <v>1</v>
      </c>
      <c r="B3" s="23" t="s">
        <v>75</v>
      </c>
      <c r="C3" s="4">
        <v>1</v>
      </c>
      <c r="D3" s="23" t="s">
        <v>297</v>
      </c>
      <c r="E3" s="4" t="s">
        <v>99</v>
      </c>
      <c r="F3" s="4" t="s">
        <v>100</v>
      </c>
      <c r="G3" s="4">
        <v>495</v>
      </c>
      <c r="H3" s="4">
        <v>675</v>
      </c>
      <c r="I3" s="4"/>
      <c r="J3" s="23" t="s">
        <v>52</v>
      </c>
      <c r="K3" s="23" t="s">
        <v>88</v>
      </c>
      <c r="L3" s="23" t="s">
        <v>102</v>
      </c>
      <c r="M3" s="4" t="s">
        <v>18</v>
      </c>
      <c r="N3" s="4"/>
      <c r="O3" s="23" t="s">
        <v>298</v>
      </c>
      <c r="P3" s="28">
        <v>46216</v>
      </c>
      <c r="Q3" s="28">
        <v>46370</v>
      </c>
      <c r="R3" s="4"/>
      <c r="S3" s="4" t="str">
        <f t="shared" ref="S3:S34" ca="1" si="0">IF(OR(P3="",Q3=""),"Unknown (missing duration data)",IF(TODAY()&gt;Q3,"Completed",IF(TODAY()&lt;P3,"Upcoming","Ongoing")))</f>
        <v>Ongoing</v>
      </c>
      <c r="T3" s="4" t="str">
        <f t="shared" ref="T3:T34" si="1">IF(SUMPRODUCT(($J$3:$J$165=J3)*($B$3:$B$165=B3)*($A$3:$A$165&lt;&gt;A3)*($G$3:$G$165&lt;H3)*($H$3:$H$165&gt;G3))&gt;0,"CONFLICT","")</f>
        <v/>
      </c>
    </row>
    <row r="4" spans="1:20" x14ac:dyDescent="0.25">
      <c r="A4" s="7">
        <v>2</v>
      </c>
      <c r="B4" s="29" t="s">
        <v>75</v>
      </c>
      <c r="C4" s="7">
        <v>1</v>
      </c>
      <c r="D4" s="29" t="s">
        <v>297</v>
      </c>
      <c r="E4" s="7" t="s">
        <v>99</v>
      </c>
      <c r="F4" s="7" t="s">
        <v>100</v>
      </c>
      <c r="G4" s="7">
        <v>495</v>
      </c>
      <c r="H4" s="7">
        <v>675</v>
      </c>
      <c r="I4" s="7"/>
      <c r="J4" s="29" t="s">
        <v>45</v>
      </c>
      <c r="K4" s="29" t="s">
        <v>88</v>
      </c>
      <c r="L4" s="29" t="s">
        <v>101</v>
      </c>
      <c r="M4" s="7" t="s">
        <v>18</v>
      </c>
      <c r="N4" s="7"/>
      <c r="O4" s="29" t="s">
        <v>299</v>
      </c>
      <c r="P4" s="30">
        <v>46139</v>
      </c>
      <c r="Q4" s="30">
        <v>46261</v>
      </c>
      <c r="R4" s="7"/>
      <c r="S4" s="7" t="str">
        <f t="shared" ca="1" si="0"/>
        <v>Completed</v>
      </c>
      <c r="T4" s="7" t="str">
        <f t="shared" si="1"/>
        <v/>
      </c>
    </row>
    <row r="5" spans="1:20" x14ac:dyDescent="0.25">
      <c r="A5" s="4">
        <v>3</v>
      </c>
      <c r="B5" s="23" t="s">
        <v>75</v>
      </c>
      <c r="C5" s="4">
        <v>1</v>
      </c>
      <c r="D5" s="23" t="s">
        <v>300</v>
      </c>
      <c r="E5" s="4" t="s">
        <v>103</v>
      </c>
      <c r="F5" s="4" t="s">
        <v>104</v>
      </c>
      <c r="G5" s="4">
        <v>555</v>
      </c>
      <c r="H5" s="4">
        <v>735</v>
      </c>
      <c r="I5" s="4"/>
      <c r="J5" s="23" t="s">
        <v>50</v>
      </c>
      <c r="K5" s="23" t="s">
        <v>88</v>
      </c>
      <c r="L5" s="23" t="s">
        <v>110</v>
      </c>
      <c r="M5" s="4" t="s">
        <v>18</v>
      </c>
      <c r="N5" s="4"/>
      <c r="O5" s="23" t="s">
        <v>301</v>
      </c>
      <c r="P5" s="28">
        <v>46216</v>
      </c>
      <c r="Q5" s="28">
        <v>46328</v>
      </c>
      <c r="R5" s="4"/>
      <c r="S5" s="4" t="str">
        <f t="shared" ca="1" si="0"/>
        <v>Ongoing</v>
      </c>
      <c r="T5" s="4" t="str">
        <f t="shared" si="1"/>
        <v/>
      </c>
    </row>
    <row r="6" spans="1:20" x14ac:dyDescent="0.25">
      <c r="A6" s="7">
        <v>4</v>
      </c>
      <c r="B6" s="29" t="s">
        <v>75</v>
      </c>
      <c r="C6" s="7">
        <v>1</v>
      </c>
      <c r="D6" s="29" t="s">
        <v>302</v>
      </c>
      <c r="E6" s="7" t="s">
        <v>103</v>
      </c>
      <c r="F6" s="7" t="s">
        <v>111</v>
      </c>
      <c r="G6" s="7">
        <v>555</v>
      </c>
      <c r="H6" s="7">
        <v>975</v>
      </c>
      <c r="I6" s="7"/>
      <c r="J6" s="29" t="s">
        <v>51</v>
      </c>
      <c r="K6" s="29" t="s">
        <v>88</v>
      </c>
      <c r="L6" s="29" t="s">
        <v>112</v>
      </c>
      <c r="M6" s="7" t="s">
        <v>18</v>
      </c>
      <c r="N6" s="7"/>
      <c r="O6" s="29" t="s">
        <v>303</v>
      </c>
      <c r="P6" s="30">
        <v>46139</v>
      </c>
      <c r="Q6" s="30">
        <v>46314</v>
      </c>
      <c r="R6" s="7"/>
      <c r="S6" s="7" t="str">
        <f t="shared" ca="1" si="0"/>
        <v>Ongoing</v>
      </c>
      <c r="T6" s="7" t="str">
        <f t="shared" si="1"/>
        <v/>
      </c>
    </row>
    <row r="7" spans="1:20" x14ac:dyDescent="0.25">
      <c r="A7" s="4">
        <v>5</v>
      </c>
      <c r="B7" s="23" t="s">
        <v>75</v>
      </c>
      <c r="C7" s="4">
        <v>1</v>
      </c>
      <c r="D7" s="23" t="s">
        <v>300</v>
      </c>
      <c r="E7" s="4" t="s">
        <v>103</v>
      </c>
      <c r="F7" s="4" t="s">
        <v>104</v>
      </c>
      <c r="G7" s="4">
        <v>555</v>
      </c>
      <c r="H7" s="4">
        <v>735</v>
      </c>
      <c r="I7" s="4"/>
      <c r="J7" s="23" t="s">
        <v>44</v>
      </c>
      <c r="K7" s="23" t="s">
        <v>88</v>
      </c>
      <c r="L7" s="23" t="s">
        <v>107</v>
      </c>
      <c r="M7" s="4" t="s">
        <v>18</v>
      </c>
      <c r="N7" s="4"/>
      <c r="O7" s="23" t="s">
        <v>304</v>
      </c>
      <c r="P7" s="28">
        <v>46210</v>
      </c>
      <c r="Q7" s="28">
        <v>46346</v>
      </c>
      <c r="R7" s="4"/>
      <c r="S7" s="4" t="str">
        <f t="shared" ca="1" si="0"/>
        <v>Ongoing</v>
      </c>
      <c r="T7" s="4" t="str">
        <f t="shared" si="1"/>
        <v/>
      </c>
    </row>
    <row r="8" spans="1:20" x14ac:dyDescent="0.25">
      <c r="A8" s="7">
        <v>6</v>
      </c>
      <c r="B8" s="29" t="s">
        <v>75</v>
      </c>
      <c r="C8" s="7">
        <v>1</v>
      </c>
      <c r="D8" s="29" t="s">
        <v>300</v>
      </c>
      <c r="E8" s="7" t="s">
        <v>103</v>
      </c>
      <c r="F8" s="7" t="s">
        <v>104</v>
      </c>
      <c r="G8" s="7">
        <v>555</v>
      </c>
      <c r="H8" s="7">
        <v>735</v>
      </c>
      <c r="I8" s="7"/>
      <c r="J8" s="29" t="s">
        <v>46</v>
      </c>
      <c r="K8" s="29" t="s">
        <v>88</v>
      </c>
      <c r="L8" s="29" t="s">
        <v>108</v>
      </c>
      <c r="M8" s="7" t="s">
        <v>18</v>
      </c>
      <c r="N8" s="7"/>
      <c r="O8" s="29" t="s">
        <v>305</v>
      </c>
      <c r="P8" s="30">
        <v>46216</v>
      </c>
      <c r="Q8" s="30">
        <v>46370</v>
      </c>
      <c r="R8" s="7"/>
      <c r="S8" s="7" t="str">
        <f t="shared" ca="1" si="0"/>
        <v>Ongoing</v>
      </c>
      <c r="T8" s="7" t="str">
        <f t="shared" si="1"/>
        <v/>
      </c>
    </row>
    <row r="9" spans="1:20" x14ac:dyDescent="0.25">
      <c r="A9" s="4">
        <v>7</v>
      </c>
      <c r="B9" s="23" t="s">
        <v>75</v>
      </c>
      <c r="C9" s="4">
        <v>1</v>
      </c>
      <c r="D9" s="23" t="s">
        <v>300</v>
      </c>
      <c r="E9" s="4" t="s">
        <v>103</v>
      </c>
      <c r="F9" s="4" t="s">
        <v>104</v>
      </c>
      <c r="G9" s="4">
        <v>555</v>
      </c>
      <c r="H9" s="4">
        <v>735</v>
      </c>
      <c r="I9" s="4"/>
      <c r="J9" s="23" t="s">
        <v>47</v>
      </c>
      <c r="K9" s="23" t="s">
        <v>88</v>
      </c>
      <c r="L9" s="23" t="s">
        <v>109</v>
      </c>
      <c r="M9" s="4" t="s">
        <v>18</v>
      </c>
      <c r="N9" s="4"/>
      <c r="O9" s="23" t="s">
        <v>306</v>
      </c>
      <c r="P9" s="28">
        <v>46191</v>
      </c>
      <c r="Q9" s="28">
        <v>46323</v>
      </c>
      <c r="R9" s="4"/>
      <c r="S9" s="4" t="str">
        <f t="shared" ca="1" si="0"/>
        <v>Ongoing</v>
      </c>
      <c r="T9" s="4" t="str">
        <f t="shared" si="1"/>
        <v/>
      </c>
    </row>
    <row r="10" spans="1:20" x14ac:dyDescent="0.25">
      <c r="A10" s="7">
        <v>8</v>
      </c>
      <c r="B10" s="29" t="s">
        <v>75</v>
      </c>
      <c r="C10" s="7">
        <v>1</v>
      </c>
      <c r="D10" s="29" t="s">
        <v>300</v>
      </c>
      <c r="E10" s="7" t="s">
        <v>103</v>
      </c>
      <c r="F10" s="7" t="s">
        <v>104</v>
      </c>
      <c r="G10" s="7">
        <v>555</v>
      </c>
      <c r="H10" s="7">
        <v>735</v>
      </c>
      <c r="I10" s="7"/>
      <c r="J10" s="29" t="s">
        <v>36</v>
      </c>
      <c r="K10" s="29" t="s">
        <v>88</v>
      </c>
      <c r="L10" s="29" t="s">
        <v>105</v>
      </c>
      <c r="M10" s="7" t="s">
        <v>18</v>
      </c>
      <c r="N10" s="7"/>
      <c r="O10" s="29" t="s">
        <v>307</v>
      </c>
      <c r="P10" s="30">
        <v>46216</v>
      </c>
      <c r="Q10" s="30">
        <v>46630</v>
      </c>
      <c r="R10" s="7"/>
      <c r="S10" s="7" t="str">
        <f t="shared" ca="1" si="0"/>
        <v>Ongoing</v>
      </c>
      <c r="T10" s="7" t="str">
        <f t="shared" si="1"/>
        <v/>
      </c>
    </row>
    <row r="11" spans="1:20" x14ac:dyDescent="0.25">
      <c r="A11" s="4">
        <v>9</v>
      </c>
      <c r="B11" s="23" t="s">
        <v>75</v>
      </c>
      <c r="C11" s="4">
        <v>1</v>
      </c>
      <c r="D11" s="23" t="s">
        <v>300</v>
      </c>
      <c r="E11" s="4" t="s">
        <v>103</v>
      </c>
      <c r="F11" s="4" t="s">
        <v>104</v>
      </c>
      <c r="G11" s="4">
        <v>555</v>
      </c>
      <c r="H11" s="4">
        <v>735</v>
      </c>
      <c r="I11" s="4"/>
      <c r="J11" s="23" t="s">
        <v>37</v>
      </c>
      <c r="K11" s="23" t="s">
        <v>88</v>
      </c>
      <c r="L11" s="23" t="s">
        <v>106</v>
      </c>
      <c r="M11" s="4" t="s">
        <v>18</v>
      </c>
      <c r="N11" s="4"/>
      <c r="O11" s="23" t="s">
        <v>308</v>
      </c>
      <c r="P11" s="28">
        <v>46097</v>
      </c>
      <c r="Q11" s="28">
        <v>46226</v>
      </c>
      <c r="R11" s="4"/>
      <c r="S11" s="4" t="str">
        <f t="shared" ca="1" si="0"/>
        <v>Completed</v>
      </c>
      <c r="T11" s="4" t="str">
        <f t="shared" si="1"/>
        <v/>
      </c>
    </row>
    <row r="12" spans="1:20" x14ac:dyDescent="0.25">
      <c r="A12" s="7">
        <v>10</v>
      </c>
      <c r="B12" s="29" t="s">
        <v>75</v>
      </c>
      <c r="C12" s="7">
        <v>1</v>
      </c>
      <c r="D12" s="29" t="s">
        <v>309</v>
      </c>
      <c r="E12" s="7" t="s">
        <v>104</v>
      </c>
      <c r="F12" s="7" t="s">
        <v>111</v>
      </c>
      <c r="G12" s="7">
        <v>735</v>
      </c>
      <c r="H12" s="7">
        <v>975</v>
      </c>
      <c r="I12" s="7"/>
      <c r="J12" s="29" t="s">
        <v>52</v>
      </c>
      <c r="K12" s="29" t="s">
        <v>88</v>
      </c>
      <c r="L12" s="29" t="s">
        <v>115</v>
      </c>
      <c r="M12" s="7" t="s">
        <v>18</v>
      </c>
      <c r="N12" s="7"/>
      <c r="O12" s="29" t="s">
        <v>304</v>
      </c>
      <c r="P12" s="30">
        <v>46210</v>
      </c>
      <c r="Q12" s="30">
        <v>46346</v>
      </c>
      <c r="R12" s="7"/>
      <c r="S12" s="7" t="str">
        <f t="shared" ca="1" si="0"/>
        <v>Ongoing</v>
      </c>
      <c r="T12" s="7" t="str">
        <f t="shared" si="1"/>
        <v/>
      </c>
    </row>
    <row r="13" spans="1:20" x14ac:dyDescent="0.25">
      <c r="A13" s="4">
        <v>11</v>
      </c>
      <c r="B13" s="23" t="s">
        <v>75</v>
      </c>
      <c r="C13" s="4">
        <v>1</v>
      </c>
      <c r="D13" s="23" t="s">
        <v>310</v>
      </c>
      <c r="E13" s="4" t="s">
        <v>104</v>
      </c>
      <c r="F13" s="4" t="s">
        <v>113</v>
      </c>
      <c r="G13" s="4">
        <v>735</v>
      </c>
      <c r="H13" s="4">
        <v>915</v>
      </c>
      <c r="I13" s="4"/>
      <c r="J13" s="23" t="s">
        <v>44</v>
      </c>
      <c r="K13" s="23" t="s">
        <v>88</v>
      </c>
      <c r="L13" s="23" t="s">
        <v>114</v>
      </c>
      <c r="M13" s="4" t="s">
        <v>18</v>
      </c>
      <c r="N13" s="4"/>
      <c r="O13" s="23" t="s">
        <v>299</v>
      </c>
      <c r="P13" s="28">
        <v>46139</v>
      </c>
      <c r="Q13" s="28">
        <v>46261</v>
      </c>
      <c r="R13" s="4"/>
      <c r="S13" s="4" t="str">
        <f t="shared" ca="1" si="0"/>
        <v>Completed</v>
      </c>
      <c r="T13" s="4" t="str">
        <f t="shared" si="1"/>
        <v/>
      </c>
    </row>
    <row r="14" spans="1:20" x14ac:dyDescent="0.25">
      <c r="A14" s="7">
        <v>12</v>
      </c>
      <c r="B14" s="29" t="s">
        <v>75</v>
      </c>
      <c r="C14" s="7">
        <v>1</v>
      </c>
      <c r="D14" s="29" t="s">
        <v>311</v>
      </c>
      <c r="E14" s="7" t="s">
        <v>116</v>
      </c>
      <c r="F14" s="7" t="s">
        <v>111</v>
      </c>
      <c r="G14" s="7">
        <v>795</v>
      </c>
      <c r="H14" s="7">
        <v>975</v>
      </c>
      <c r="I14" s="7"/>
      <c r="J14" s="29" t="s">
        <v>53</v>
      </c>
      <c r="K14" s="29" t="s">
        <v>88</v>
      </c>
      <c r="L14" s="29" t="s">
        <v>123</v>
      </c>
      <c r="M14" s="7" t="s">
        <v>18</v>
      </c>
      <c r="N14" s="7"/>
      <c r="O14" s="29" t="s">
        <v>304</v>
      </c>
      <c r="P14" s="30">
        <v>46210</v>
      </c>
      <c r="Q14" s="30">
        <v>46346</v>
      </c>
      <c r="R14" s="7"/>
      <c r="S14" s="7" t="str">
        <f t="shared" ca="1" si="0"/>
        <v>Ongoing</v>
      </c>
      <c r="T14" s="7" t="str">
        <f t="shared" si="1"/>
        <v/>
      </c>
    </row>
    <row r="15" spans="1:20" x14ac:dyDescent="0.25">
      <c r="A15" s="4">
        <v>13</v>
      </c>
      <c r="B15" s="23" t="s">
        <v>75</v>
      </c>
      <c r="C15" s="4">
        <v>1</v>
      </c>
      <c r="D15" s="23" t="s">
        <v>311</v>
      </c>
      <c r="E15" s="4" t="s">
        <v>116</v>
      </c>
      <c r="F15" s="4" t="s">
        <v>111</v>
      </c>
      <c r="G15" s="4">
        <v>795</v>
      </c>
      <c r="H15" s="4">
        <v>975</v>
      </c>
      <c r="I15" s="4"/>
      <c r="J15" s="23" t="s">
        <v>54</v>
      </c>
      <c r="K15" s="23" t="s">
        <v>88</v>
      </c>
      <c r="L15" s="23" t="s">
        <v>124</v>
      </c>
      <c r="M15" s="4" t="s">
        <v>18</v>
      </c>
      <c r="N15" s="4"/>
      <c r="O15" s="23" t="s">
        <v>304</v>
      </c>
      <c r="P15" s="28">
        <v>46210</v>
      </c>
      <c r="Q15" s="28">
        <v>46346</v>
      </c>
      <c r="R15" s="4"/>
      <c r="S15" s="4" t="str">
        <f t="shared" ca="1" si="0"/>
        <v>Ongoing</v>
      </c>
      <c r="T15" s="4" t="str">
        <f t="shared" si="1"/>
        <v/>
      </c>
    </row>
    <row r="16" spans="1:20" x14ac:dyDescent="0.25">
      <c r="A16" s="7">
        <v>14</v>
      </c>
      <c r="B16" s="29" t="s">
        <v>75</v>
      </c>
      <c r="C16" s="7">
        <v>1</v>
      </c>
      <c r="D16" s="29" t="s">
        <v>311</v>
      </c>
      <c r="E16" s="7" t="s">
        <v>116</v>
      </c>
      <c r="F16" s="7" t="s">
        <v>111</v>
      </c>
      <c r="G16" s="7">
        <v>795</v>
      </c>
      <c r="H16" s="7">
        <v>975</v>
      </c>
      <c r="I16" s="7"/>
      <c r="J16" s="29" t="s">
        <v>56</v>
      </c>
      <c r="K16" s="29" t="s">
        <v>88</v>
      </c>
      <c r="L16" s="29" t="s">
        <v>125</v>
      </c>
      <c r="M16" s="7" t="s">
        <v>18</v>
      </c>
      <c r="N16" s="7"/>
      <c r="O16" s="29" t="s">
        <v>312</v>
      </c>
      <c r="P16" s="30">
        <v>46097</v>
      </c>
      <c r="Q16" s="30">
        <v>46202</v>
      </c>
      <c r="R16" s="7"/>
      <c r="S16" s="7" t="str">
        <f t="shared" ca="1" si="0"/>
        <v>Completed</v>
      </c>
      <c r="T16" s="7" t="str">
        <f t="shared" si="1"/>
        <v/>
      </c>
    </row>
    <row r="17" spans="1:20" x14ac:dyDescent="0.25">
      <c r="A17" s="4">
        <v>15</v>
      </c>
      <c r="B17" s="23" t="s">
        <v>75</v>
      </c>
      <c r="C17" s="4">
        <v>1</v>
      </c>
      <c r="D17" s="23" t="s">
        <v>311</v>
      </c>
      <c r="E17" s="4" t="s">
        <v>116</v>
      </c>
      <c r="F17" s="4" t="s">
        <v>111</v>
      </c>
      <c r="G17" s="4">
        <v>795</v>
      </c>
      <c r="H17" s="4">
        <v>975</v>
      </c>
      <c r="I17" s="4"/>
      <c r="J17" s="23" t="s">
        <v>48</v>
      </c>
      <c r="K17" s="23" t="s">
        <v>88</v>
      </c>
      <c r="L17" s="23" t="s">
        <v>120</v>
      </c>
      <c r="M17" s="4" t="s">
        <v>18</v>
      </c>
      <c r="N17" s="4"/>
      <c r="O17" s="23" t="s">
        <v>304</v>
      </c>
      <c r="P17" s="28">
        <v>46210</v>
      </c>
      <c r="Q17" s="28">
        <v>46346</v>
      </c>
      <c r="R17" s="4"/>
      <c r="S17" s="4" t="str">
        <f t="shared" ca="1" si="0"/>
        <v>Ongoing</v>
      </c>
      <c r="T17" s="4" t="str">
        <f t="shared" si="1"/>
        <v/>
      </c>
    </row>
    <row r="18" spans="1:20" x14ac:dyDescent="0.25">
      <c r="A18" s="7">
        <v>16</v>
      </c>
      <c r="B18" s="29" t="s">
        <v>75</v>
      </c>
      <c r="C18" s="7">
        <v>1</v>
      </c>
      <c r="D18" s="29" t="s">
        <v>311</v>
      </c>
      <c r="E18" s="7" t="s">
        <v>116</v>
      </c>
      <c r="F18" s="7" t="s">
        <v>111</v>
      </c>
      <c r="G18" s="7">
        <v>795</v>
      </c>
      <c r="H18" s="7">
        <v>975</v>
      </c>
      <c r="I18" s="7"/>
      <c r="J18" s="29" t="s">
        <v>49</v>
      </c>
      <c r="K18" s="29" t="s">
        <v>88</v>
      </c>
      <c r="L18" s="29" t="s">
        <v>121</v>
      </c>
      <c r="M18" s="7" t="s">
        <v>18</v>
      </c>
      <c r="N18" s="7"/>
      <c r="O18" s="29" t="s">
        <v>313</v>
      </c>
      <c r="P18" s="30">
        <v>46216</v>
      </c>
      <c r="Q18" s="30">
        <v>46357</v>
      </c>
      <c r="R18" s="7"/>
      <c r="S18" s="7" t="str">
        <f t="shared" ca="1" si="0"/>
        <v>Ongoing</v>
      </c>
      <c r="T18" s="7" t="str">
        <f t="shared" si="1"/>
        <v/>
      </c>
    </row>
    <row r="19" spans="1:20" x14ac:dyDescent="0.25">
      <c r="A19" s="4">
        <v>17</v>
      </c>
      <c r="B19" s="23" t="s">
        <v>75</v>
      </c>
      <c r="C19" s="4">
        <v>1</v>
      </c>
      <c r="D19" s="23" t="s">
        <v>311</v>
      </c>
      <c r="E19" s="4" t="s">
        <v>116</v>
      </c>
      <c r="F19" s="4" t="s">
        <v>111</v>
      </c>
      <c r="G19" s="4">
        <v>795</v>
      </c>
      <c r="H19" s="4">
        <v>975</v>
      </c>
      <c r="I19" s="4"/>
      <c r="J19" s="23" t="s">
        <v>50</v>
      </c>
      <c r="K19" s="23" t="s">
        <v>88</v>
      </c>
      <c r="L19" s="23" t="s">
        <v>122</v>
      </c>
      <c r="M19" s="4" t="s">
        <v>18</v>
      </c>
      <c r="N19" s="4"/>
      <c r="O19" s="23" t="s">
        <v>301</v>
      </c>
      <c r="P19" s="28">
        <v>46216</v>
      </c>
      <c r="Q19" s="28">
        <v>46328</v>
      </c>
      <c r="R19" s="4"/>
      <c r="S19" s="4" t="str">
        <f t="shared" ca="1" si="0"/>
        <v>Ongoing</v>
      </c>
      <c r="T19" s="4" t="str">
        <f t="shared" si="1"/>
        <v/>
      </c>
    </row>
    <row r="20" spans="1:20" x14ac:dyDescent="0.25">
      <c r="A20" s="7">
        <v>18</v>
      </c>
      <c r="B20" s="29" t="s">
        <v>75</v>
      </c>
      <c r="C20" s="7">
        <v>1</v>
      </c>
      <c r="D20" s="29" t="s">
        <v>311</v>
      </c>
      <c r="E20" s="7" t="s">
        <v>116</v>
      </c>
      <c r="F20" s="7" t="s">
        <v>111</v>
      </c>
      <c r="G20" s="7">
        <v>795</v>
      </c>
      <c r="H20" s="7">
        <v>975</v>
      </c>
      <c r="I20" s="7"/>
      <c r="J20" s="29" t="s">
        <v>45</v>
      </c>
      <c r="K20" s="29" t="s">
        <v>88</v>
      </c>
      <c r="L20" s="29" t="s">
        <v>119</v>
      </c>
      <c r="M20" s="7" t="s">
        <v>18</v>
      </c>
      <c r="N20" s="7"/>
      <c r="O20" s="29" t="s">
        <v>306</v>
      </c>
      <c r="P20" s="30">
        <v>46191</v>
      </c>
      <c r="Q20" s="30">
        <v>46323</v>
      </c>
      <c r="R20" s="7"/>
      <c r="S20" s="7" t="str">
        <f t="shared" ca="1" si="0"/>
        <v>Ongoing</v>
      </c>
      <c r="T20" s="7" t="str">
        <f t="shared" si="1"/>
        <v/>
      </c>
    </row>
    <row r="21" spans="1:20" x14ac:dyDescent="0.25">
      <c r="A21" s="4">
        <v>19</v>
      </c>
      <c r="B21" s="23" t="s">
        <v>75</v>
      </c>
      <c r="C21" s="4">
        <v>1</v>
      </c>
      <c r="D21" s="23" t="s">
        <v>311</v>
      </c>
      <c r="E21" s="4" t="s">
        <v>116</v>
      </c>
      <c r="F21" s="4" t="s">
        <v>111</v>
      </c>
      <c r="G21" s="4">
        <v>795</v>
      </c>
      <c r="H21" s="4">
        <v>975</v>
      </c>
      <c r="I21" s="4"/>
      <c r="J21" s="23" t="s">
        <v>36</v>
      </c>
      <c r="K21" s="23" t="s">
        <v>88</v>
      </c>
      <c r="L21" s="23" t="s">
        <v>117</v>
      </c>
      <c r="M21" s="4" t="s">
        <v>18</v>
      </c>
      <c r="N21" s="4"/>
      <c r="O21" s="23" t="s">
        <v>307</v>
      </c>
      <c r="P21" s="28">
        <v>46216</v>
      </c>
      <c r="Q21" s="28">
        <v>46630</v>
      </c>
      <c r="R21" s="4"/>
      <c r="S21" s="4" t="str">
        <f t="shared" ca="1" si="0"/>
        <v>Ongoing</v>
      </c>
      <c r="T21" s="4" t="str">
        <f t="shared" si="1"/>
        <v/>
      </c>
    </row>
    <row r="22" spans="1:20" x14ac:dyDescent="0.25">
      <c r="A22" s="7">
        <v>20</v>
      </c>
      <c r="B22" s="29" t="s">
        <v>75</v>
      </c>
      <c r="C22" s="7">
        <v>1</v>
      </c>
      <c r="D22" s="29" t="s">
        <v>311</v>
      </c>
      <c r="E22" s="7" t="s">
        <v>116</v>
      </c>
      <c r="F22" s="7" t="s">
        <v>111</v>
      </c>
      <c r="G22" s="7">
        <v>795</v>
      </c>
      <c r="H22" s="7">
        <v>975</v>
      </c>
      <c r="I22" s="7"/>
      <c r="J22" s="29" t="s">
        <v>37</v>
      </c>
      <c r="K22" s="29" t="s">
        <v>88</v>
      </c>
      <c r="L22" s="29" t="s">
        <v>118</v>
      </c>
      <c r="M22" s="7" t="s">
        <v>18</v>
      </c>
      <c r="N22" s="7"/>
      <c r="O22" s="29" t="s">
        <v>308</v>
      </c>
      <c r="P22" s="30">
        <v>46097</v>
      </c>
      <c r="Q22" s="30">
        <v>46226</v>
      </c>
      <c r="R22" s="7"/>
      <c r="S22" s="7" t="str">
        <f t="shared" ca="1" si="0"/>
        <v>Completed</v>
      </c>
      <c r="T22" s="7" t="str">
        <f t="shared" si="1"/>
        <v/>
      </c>
    </row>
    <row r="23" spans="1:20" x14ac:dyDescent="0.25">
      <c r="A23" s="4">
        <v>21</v>
      </c>
      <c r="B23" s="23" t="s">
        <v>126</v>
      </c>
      <c r="C23" s="4">
        <v>2</v>
      </c>
      <c r="D23" s="23" t="s">
        <v>297</v>
      </c>
      <c r="E23" s="4" t="s">
        <v>99</v>
      </c>
      <c r="F23" s="4" t="s">
        <v>100</v>
      </c>
      <c r="G23" s="4">
        <v>495</v>
      </c>
      <c r="H23" s="4">
        <v>675</v>
      </c>
      <c r="I23" s="4"/>
      <c r="J23" s="23" t="s">
        <v>55</v>
      </c>
      <c r="K23" s="23" t="s">
        <v>88</v>
      </c>
      <c r="L23" s="23" t="s">
        <v>129</v>
      </c>
      <c r="M23" s="4" t="s">
        <v>19</v>
      </c>
      <c r="N23" s="4"/>
      <c r="O23" s="23" t="s">
        <v>314</v>
      </c>
      <c r="P23" s="28">
        <v>46190</v>
      </c>
      <c r="Q23" s="28">
        <v>46286</v>
      </c>
      <c r="R23" s="4"/>
      <c r="S23" s="4" t="str">
        <f t="shared" ca="1" si="0"/>
        <v>Ongoing</v>
      </c>
      <c r="T23" s="4" t="str">
        <f t="shared" si="1"/>
        <v/>
      </c>
    </row>
    <row r="24" spans="1:20" x14ac:dyDescent="0.25">
      <c r="A24" s="7">
        <v>22</v>
      </c>
      <c r="B24" s="29" t="s">
        <v>126</v>
      </c>
      <c r="C24" s="7">
        <v>2</v>
      </c>
      <c r="D24" s="29" t="s">
        <v>297</v>
      </c>
      <c r="E24" s="7" t="s">
        <v>99</v>
      </c>
      <c r="F24" s="7" t="s">
        <v>100</v>
      </c>
      <c r="G24" s="7">
        <v>495</v>
      </c>
      <c r="H24" s="7">
        <v>675</v>
      </c>
      <c r="I24" s="7"/>
      <c r="J24" s="29" t="s">
        <v>45</v>
      </c>
      <c r="K24" s="29" t="s">
        <v>88</v>
      </c>
      <c r="L24" s="29" t="s">
        <v>128</v>
      </c>
      <c r="M24" s="7" t="s">
        <v>18</v>
      </c>
      <c r="N24" s="7"/>
      <c r="O24" s="29" t="s">
        <v>304</v>
      </c>
      <c r="P24" s="30">
        <v>46210</v>
      </c>
      <c r="Q24" s="30">
        <v>46346</v>
      </c>
      <c r="R24" s="7"/>
      <c r="S24" s="7" t="str">
        <f t="shared" ca="1" si="0"/>
        <v>Ongoing</v>
      </c>
      <c r="T24" s="7" t="str">
        <f t="shared" si="1"/>
        <v/>
      </c>
    </row>
    <row r="25" spans="1:20" x14ac:dyDescent="0.25">
      <c r="A25" s="4">
        <v>23</v>
      </c>
      <c r="B25" s="23" t="s">
        <v>126</v>
      </c>
      <c r="C25" s="4">
        <v>2</v>
      </c>
      <c r="D25" s="23" t="s">
        <v>297</v>
      </c>
      <c r="E25" s="4" t="s">
        <v>99</v>
      </c>
      <c r="F25" s="4" t="s">
        <v>100</v>
      </c>
      <c r="G25" s="4">
        <v>495</v>
      </c>
      <c r="H25" s="4">
        <v>675</v>
      </c>
      <c r="I25" s="4"/>
      <c r="J25" s="23" t="s">
        <v>35</v>
      </c>
      <c r="K25" s="23" t="s">
        <v>88</v>
      </c>
      <c r="L25" s="23" t="s">
        <v>127</v>
      </c>
      <c r="M25" s="4" t="s">
        <v>19</v>
      </c>
      <c r="N25" s="4"/>
      <c r="O25" s="23" t="s">
        <v>315</v>
      </c>
      <c r="P25" s="28">
        <v>46153</v>
      </c>
      <c r="Q25" s="28">
        <v>46251</v>
      </c>
      <c r="R25" s="4"/>
      <c r="S25" s="4" t="str">
        <f t="shared" ca="1" si="0"/>
        <v>Completed</v>
      </c>
      <c r="T25" s="4" t="str">
        <f t="shared" si="1"/>
        <v/>
      </c>
    </row>
    <row r="26" spans="1:20" x14ac:dyDescent="0.25">
      <c r="A26" s="7">
        <v>24</v>
      </c>
      <c r="B26" s="29" t="s">
        <v>126</v>
      </c>
      <c r="C26" s="7">
        <v>2</v>
      </c>
      <c r="D26" s="29" t="s">
        <v>300</v>
      </c>
      <c r="E26" s="7" t="s">
        <v>103</v>
      </c>
      <c r="F26" s="7" t="s">
        <v>104</v>
      </c>
      <c r="G26" s="7">
        <v>555</v>
      </c>
      <c r="H26" s="7">
        <v>735</v>
      </c>
      <c r="I26" s="7"/>
      <c r="J26" s="29" t="s">
        <v>53</v>
      </c>
      <c r="K26" s="29" t="s">
        <v>88</v>
      </c>
      <c r="L26" s="29" t="s">
        <v>134</v>
      </c>
      <c r="M26" s="7" t="s">
        <v>18</v>
      </c>
      <c r="N26" s="7"/>
      <c r="O26" s="29" t="s">
        <v>303</v>
      </c>
      <c r="P26" s="30">
        <v>46139</v>
      </c>
      <c r="Q26" s="30">
        <v>46314</v>
      </c>
      <c r="R26" s="7"/>
      <c r="S26" s="7" t="str">
        <f t="shared" ca="1" si="0"/>
        <v>Ongoing</v>
      </c>
      <c r="T26" s="7" t="str">
        <f t="shared" si="1"/>
        <v/>
      </c>
    </row>
    <row r="27" spans="1:20" x14ac:dyDescent="0.25">
      <c r="A27" s="4">
        <v>25</v>
      </c>
      <c r="B27" s="23" t="s">
        <v>126</v>
      </c>
      <c r="C27" s="4">
        <v>2</v>
      </c>
      <c r="D27" s="23" t="s">
        <v>300</v>
      </c>
      <c r="E27" s="4" t="s">
        <v>103</v>
      </c>
      <c r="F27" s="4" t="s">
        <v>104</v>
      </c>
      <c r="G27" s="4">
        <v>555</v>
      </c>
      <c r="H27" s="4">
        <v>735</v>
      </c>
      <c r="I27" s="4"/>
      <c r="J27" s="23" t="s">
        <v>54</v>
      </c>
      <c r="K27" s="23" t="s">
        <v>88</v>
      </c>
      <c r="L27" s="23" t="s">
        <v>135</v>
      </c>
      <c r="M27" s="4" t="s">
        <v>18</v>
      </c>
      <c r="N27" s="4"/>
      <c r="O27" s="23" t="s">
        <v>304</v>
      </c>
      <c r="P27" s="28">
        <v>46210</v>
      </c>
      <c r="Q27" s="28">
        <v>46346</v>
      </c>
      <c r="R27" s="4"/>
      <c r="S27" s="4" t="str">
        <f t="shared" ca="1" si="0"/>
        <v>Ongoing</v>
      </c>
      <c r="T27" s="4" t="str">
        <f t="shared" si="1"/>
        <v/>
      </c>
    </row>
    <row r="28" spans="1:20" x14ac:dyDescent="0.25">
      <c r="A28" s="7">
        <v>26</v>
      </c>
      <c r="B28" s="29" t="s">
        <v>126</v>
      </c>
      <c r="C28" s="7">
        <v>2</v>
      </c>
      <c r="D28" s="29" t="s">
        <v>300</v>
      </c>
      <c r="E28" s="7" t="s">
        <v>103</v>
      </c>
      <c r="F28" s="7" t="s">
        <v>104</v>
      </c>
      <c r="G28" s="7">
        <v>555</v>
      </c>
      <c r="H28" s="7">
        <v>735</v>
      </c>
      <c r="I28" s="7"/>
      <c r="J28" s="29" t="s">
        <v>48</v>
      </c>
      <c r="K28" s="29" t="s">
        <v>88</v>
      </c>
      <c r="L28" s="29" t="s">
        <v>132</v>
      </c>
      <c r="M28" s="7" t="s">
        <v>18</v>
      </c>
      <c r="N28" s="7"/>
      <c r="O28" s="29" t="s">
        <v>316</v>
      </c>
      <c r="P28" s="30">
        <v>46097</v>
      </c>
      <c r="Q28" s="30">
        <v>46226</v>
      </c>
      <c r="R28" s="7"/>
      <c r="S28" s="7" t="str">
        <f t="shared" ca="1" si="0"/>
        <v>Completed</v>
      </c>
      <c r="T28" s="7" t="str">
        <f t="shared" si="1"/>
        <v/>
      </c>
    </row>
    <row r="29" spans="1:20" x14ac:dyDescent="0.25">
      <c r="A29" s="4">
        <v>27</v>
      </c>
      <c r="B29" s="23" t="s">
        <v>126</v>
      </c>
      <c r="C29" s="4">
        <v>2</v>
      </c>
      <c r="D29" s="23" t="s">
        <v>300</v>
      </c>
      <c r="E29" s="4" t="s">
        <v>103</v>
      </c>
      <c r="F29" s="4" t="s">
        <v>104</v>
      </c>
      <c r="G29" s="4">
        <v>555</v>
      </c>
      <c r="H29" s="4">
        <v>735</v>
      </c>
      <c r="I29" s="4"/>
      <c r="J29" s="23" t="s">
        <v>49</v>
      </c>
      <c r="K29" s="23" t="s">
        <v>88</v>
      </c>
      <c r="L29" s="23" t="s">
        <v>133</v>
      </c>
      <c r="M29" s="4" t="s">
        <v>18</v>
      </c>
      <c r="N29" s="4"/>
      <c r="O29" s="23" t="s">
        <v>298</v>
      </c>
      <c r="P29" s="28">
        <v>46216</v>
      </c>
      <c r="Q29" s="28">
        <v>46370</v>
      </c>
      <c r="R29" s="4"/>
      <c r="S29" s="4" t="str">
        <f t="shared" ca="1" si="0"/>
        <v>Ongoing</v>
      </c>
      <c r="T29" s="4" t="str">
        <f t="shared" si="1"/>
        <v/>
      </c>
    </row>
    <row r="30" spans="1:20" x14ac:dyDescent="0.25">
      <c r="A30" s="7">
        <v>28</v>
      </c>
      <c r="B30" s="29" t="s">
        <v>126</v>
      </c>
      <c r="C30" s="7">
        <v>2</v>
      </c>
      <c r="D30" s="29" t="s">
        <v>302</v>
      </c>
      <c r="E30" s="7" t="s">
        <v>103</v>
      </c>
      <c r="F30" s="7" t="s">
        <v>111</v>
      </c>
      <c r="G30" s="7">
        <v>555</v>
      </c>
      <c r="H30" s="7">
        <v>975</v>
      </c>
      <c r="I30" s="7"/>
      <c r="J30" s="29" t="s">
        <v>46</v>
      </c>
      <c r="K30" s="29" t="s">
        <v>88</v>
      </c>
      <c r="L30" s="29" t="s">
        <v>130</v>
      </c>
      <c r="M30" s="7" t="s">
        <v>18</v>
      </c>
      <c r="N30" s="7"/>
      <c r="O30" s="29" t="s">
        <v>313</v>
      </c>
      <c r="P30" s="30">
        <v>46216</v>
      </c>
      <c r="Q30" s="30">
        <v>46357</v>
      </c>
      <c r="R30" s="7"/>
      <c r="S30" s="7" t="str">
        <f t="shared" ca="1" si="0"/>
        <v>Ongoing</v>
      </c>
      <c r="T30" s="7" t="str">
        <f t="shared" si="1"/>
        <v/>
      </c>
    </row>
    <row r="31" spans="1:20" x14ac:dyDescent="0.25">
      <c r="A31" s="4">
        <v>29</v>
      </c>
      <c r="B31" s="23" t="s">
        <v>126</v>
      </c>
      <c r="C31" s="4">
        <v>2</v>
      </c>
      <c r="D31" s="23" t="s">
        <v>300</v>
      </c>
      <c r="E31" s="4" t="s">
        <v>103</v>
      </c>
      <c r="F31" s="4" t="s">
        <v>104</v>
      </c>
      <c r="G31" s="4">
        <v>555</v>
      </c>
      <c r="H31" s="4">
        <v>735</v>
      </c>
      <c r="I31" s="4"/>
      <c r="J31" s="23" t="s">
        <v>47</v>
      </c>
      <c r="K31" s="23" t="s">
        <v>88</v>
      </c>
      <c r="L31" s="23" t="s">
        <v>131</v>
      </c>
      <c r="M31" s="4" t="s">
        <v>18</v>
      </c>
      <c r="N31" s="4"/>
      <c r="O31" s="23" t="s">
        <v>304</v>
      </c>
      <c r="P31" s="28">
        <v>46210</v>
      </c>
      <c r="Q31" s="28">
        <v>46346</v>
      </c>
      <c r="R31" s="4"/>
      <c r="S31" s="4" t="str">
        <f t="shared" ca="1" si="0"/>
        <v>Ongoing</v>
      </c>
      <c r="T31" s="4" t="str">
        <f t="shared" si="1"/>
        <v/>
      </c>
    </row>
    <row r="32" spans="1:20" x14ac:dyDescent="0.25">
      <c r="A32" s="7">
        <v>30</v>
      </c>
      <c r="B32" s="29" t="s">
        <v>126</v>
      </c>
      <c r="C32" s="7">
        <v>2</v>
      </c>
      <c r="D32" s="29" t="s">
        <v>309</v>
      </c>
      <c r="E32" s="7" t="s">
        <v>104</v>
      </c>
      <c r="F32" s="7" t="s">
        <v>111</v>
      </c>
      <c r="G32" s="7">
        <v>735</v>
      </c>
      <c r="H32" s="7">
        <v>975</v>
      </c>
      <c r="I32" s="7"/>
      <c r="J32" s="29" t="s">
        <v>36</v>
      </c>
      <c r="K32" s="29" t="s">
        <v>88</v>
      </c>
      <c r="L32" s="29" t="s">
        <v>136</v>
      </c>
      <c r="M32" s="7" t="s">
        <v>18</v>
      </c>
      <c r="N32" s="7"/>
      <c r="O32" s="29" t="s">
        <v>307</v>
      </c>
      <c r="P32" s="30">
        <v>46216</v>
      </c>
      <c r="Q32" s="30">
        <v>46630</v>
      </c>
      <c r="R32" s="7"/>
      <c r="S32" s="7" t="str">
        <f t="shared" ca="1" si="0"/>
        <v>Ongoing</v>
      </c>
      <c r="T32" s="7" t="str">
        <f t="shared" si="1"/>
        <v>CONFLICT</v>
      </c>
    </row>
    <row r="33" spans="1:20" x14ac:dyDescent="0.25">
      <c r="A33" s="4">
        <v>31</v>
      </c>
      <c r="B33" s="23" t="s">
        <v>126</v>
      </c>
      <c r="C33" s="4">
        <v>2</v>
      </c>
      <c r="D33" s="23" t="s">
        <v>311</v>
      </c>
      <c r="E33" s="4" t="s">
        <v>116</v>
      </c>
      <c r="F33" s="4" t="s">
        <v>111</v>
      </c>
      <c r="G33" s="4">
        <v>795</v>
      </c>
      <c r="H33" s="4">
        <v>975</v>
      </c>
      <c r="I33" s="4"/>
      <c r="J33" s="23" t="s">
        <v>53</v>
      </c>
      <c r="K33" s="23" t="s">
        <v>88</v>
      </c>
      <c r="L33" s="23" t="s">
        <v>132</v>
      </c>
      <c r="M33" s="4" t="s">
        <v>18</v>
      </c>
      <c r="N33" s="4"/>
      <c r="O33" s="23" t="s">
        <v>308</v>
      </c>
      <c r="P33" s="28">
        <v>46097</v>
      </c>
      <c r="Q33" s="28">
        <v>46226</v>
      </c>
      <c r="R33" s="4"/>
      <c r="S33" s="4" t="str">
        <f t="shared" ca="1" si="0"/>
        <v>Completed</v>
      </c>
      <c r="T33" s="4" t="str">
        <f t="shared" si="1"/>
        <v/>
      </c>
    </row>
    <row r="34" spans="1:20" x14ac:dyDescent="0.25">
      <c r="A34" s="7">
        <v>32</v>
      </c>
      <c r="B34" s="29" t="s">
        <v>126</v>
      </c>
      <c r="C34" s="7">
        <v>2</v>
      </c>
      <c r="D34" s="29" t="s">
        <v>311</v>
      </c>
      <c r="E34" s="7" t="s">
        <v>116</v>
      </c>
      <c r="F34" s="7" t="s">
        <v>111</v>
      </c>
      <c r="G34" s="7">
        <v>795</v>
      </c>
      <c r="H34" s="7">
        <v>975</v>
      </c>
      <c r="I34" s="7"/>
      <c r="J34" s="29" t="s">
        <v>48</v>
      </c>
      <c r="K34" s="29" t="s">
        <v>88</v>
      </c>
      <c r="L34" s="29" t="s">
        <v>139</v>
      </c>
      <c r="M34" s="7" t="s">
        <v>19</v>
      </c>
      <c r="N34" s="7"/>
      <c r="O34" s="29" t="s">
        <v>315</v>
      </c>
      <c r="P34" s="30">
        <v>46153</v>
      </c>
      <c r="Q34" s="30">
        <v>46251</v>
      </c>
      <c r="R34" s="7"/>
      <c r="S34" s="7" t="str">
        <f t="shared" ca="1" si="0"/>
        <v>Completed</v>
      </c>
      <c r="T34" s="7" t="str">
        <f t="shared" si="1"/>
        <v/>
      </c>
    </row>
    <row r="35" spans="1:20" x14ac:dyDescent="0.25">
      <c r="A35" s="4">
        <v>33</v>
      </c>
      <c r="B35" s="23" t="s">
        <v>126</v>
      </c>
      <c r="C35" s="4">
        <v>2</v>
      </c>
      <c r="D35" s="23" t="s">
        <v>311</v>
      </c>
      <c r="E35" s="4" t="s">
        <v>116</v>
      </c>
      <c r="F35" s="4" t="s">
        <v>111</v>
      </c>
      <c r="G35" s="4">
        <v>795</v>
      </c>
      <c r="H35" s="4">
        <v>975</v>
      </c>
      <c r="I35" s="4"/>
      <c r="J35" s="23" t="s">
        <v>49</v>
      </c>
      <c r="K35" s="23" t="s">
        <v>88</v>
      </c>
      <c r="L35" s="23" t="s">
        <v>140</v>
      </c>
      <c r="M35" s="4" t="s">
        <v>18</v>
      </c>
      <c r="N35" s="4"/>
      <c r="O35" s="23" t="s">
        <v>298</v>
      </c>
      <c r="P35" s="28">
        <v>46216</v>
      </c>
      <c r="Q35" s="28">
        <v>46370</v>
      </c>
      <c r="R35" s="4"/>
      <c r="S35" s="4" t="str">
        <f t="shared" ref="S35:S66" ca="1" si="2">IF(OR(P35="",Q35=""),"Unknown (missing duration data)",IF(TODAY()&gt;Q35,"Completed",IF(TODAY()&lt;P35,"Upcoming","Ongoing")))</f>
        <v>Ongoing</v>
      </c>
      <c r="T35" s="4" t="str">
        <f t="shared" ref="T35:T66" si="3">IF(SUMPRODUCT(($J$3:$J$165=J35)*($B$3:$B$165=B35)*($A$3:$A$165&lt;&gt;A35)*($G$3:$G$165&lt;H35)*($H$3:$H$165&gt;G35))&gt;0,"CONFLICT","")</f>
        <v/>
      </c>
    </row>
    <row r="36" spans="1:20" x14ac:dyDescent="0.25">
      <c r="A36" s="7">
        <v>34</v>
      </c>
      <c r="B36" s="29" t="s">
        <v>126</v>
      </c>
      <c r="C36" s="7">
        <v>2</v>
      </c>
      <c r="D36" s="29" t="s">
        <v>311</v>
      </c>
      <c r="E36" s="7" t="s">
        <v>116</v>
      </c>
      <c r="F36" s="7" t="s">
        <v>111</v>
      </c>
      <c r="G36" s="7">
        <v>795</v>
      </c>
      <c r="H36" s="7">
        <v>975</v>
      </c>
      <c r="I36" s="7"/>
      <c r="J36" s="29" t="s">
        <v>36</v>
      </c>
      <c r="K36" s="29" t="s">
        <v>88</v>
      </c>
      <c r="L36" s="29" t="s">
        <v>137</v>
      </c>
      <c r="M36" s="7" t="s">
        <v>18</v>
      </c>
      <c r="N36" s="7"/>
      <c r="O36" s="29" t="s">
        <v>307</v>
      </c>
      <c r="P36" s="30">
        <v>46216</v>
      </c>
      <c r="Q36" s="30">
        <v>46630</v>
      </c>
      <c r="R36" s="7"/>
      <c r="S36" s="7" t="str">
        <f t="shared" ca="1" si="2"/>
        <v>Ongoing</v>
      </c>
      <c r="T36" s="7" t="str">
        <f t="shared" si="3"/>
        <v>CONFLICT</v>
      </c>
    </row>
    <row r="37" spans="1:20" x14ac:dyDescent="0.25">
      <c r="A37" s="4">
        <v>35</v>
      </c>
      <c r="B37" s="23" t="s">
        <v>126</v>
      </c>
      <c r="C37" s="4">
        <v>2</v>
      </c>
      <c r="D37" s="23" t="s">
        <v>311</v>
      </c>
      <c r="E37" s="4" t="s">
        <v>116</v>
      </c>
      <c r="F37" s="4" t="s">
        <v>111</v>
      </c>
      <c r="G37" s="4">
        <v>795</v>
      </c>
      <c r="H37" s="4">
        <v>975</v>
      </c>
      <c r="I37" s="4"/>
      <c r="J37" s="23" t="s">
        <v>37</v>
      </c>
      <c r="K37" s="23" t="s">
        <v>88</v>
      </c>
      <c r="L37" s="23" t="s">
        <v>138</v>
      </c>
      <c r="M37" s="4" t="s">
        <v>18</v>
      </c>
      <c r="N37" s="4"/>
      <c r="O37" s="23" t="s">
        <v>308</v>
      </c>
      <c r="P37" s="28">
        <v>46097</v>
      </c>
      <c r="Q37" s="28">
        <v>46226</v>
      </c>
      <c r="R37" s="4"/>
      <c r="S37" s="4" t="str">
        <f t="shared" ca="1" si="2"/>
        <v>Completed</v>
      </c>
      <c r="T37" s="4" t="str">
        <f t="shared" si="3"/>
        <v/>
      </c>
    </row>
    <row r="38" spans="1:20" x14ac:dyDescent="0.25">
      <c r="A38" s="7">
        <v>36</v>
      </c>
      <c r="B38" s="29" t="s">
        <v>141</v>
      </c>
      <c r="C38" s="7">
        <v>3</v>
      </c>
      <c r="D38" s="29" t="s">
        <v>300</v>
      </c>
      <c r="E38" s="7" t="s">
        <v>103</v>
      </c>
      <c r="F38" s="7" t="s">
        <v>104</v>
      </c>
      <c r="G38" s="7">
        <v>555</v>
      </c>
      <c r="H38" s="7">
        <v>735</v>
      </c>
      <c r="I38" s="7"/>
      <c r="J38" s="29" t="s">
        <v>52</v>
      </c>
      <c r="K38" s="29" t="s">
        <v>88</v>
      </c>
      <c r="L38" s="29" t="s">
        <v>148</v>
      </c>
      <c r="M38" s="7" t="s">
        <v>18</v>
      </c>
      <c r="N38" s="7"/>
      <c r="O38" s="29" t="s">
        <v>317</v>
      </c>
      <c r="P38" s="30">
        <v>46111</v>
      </c>
      <c r="Q38" s="30">
        <v>46233</v>
      </c>
      <c r="R38" s="7"/>
      <c r="S38" s="7" t="str">
        <f t="shared" ca="1" si="2"/>
        <v>Completed</v>
      </c>
      <c r="T38" s="7" t="str">
        <f t="shared" si="3"/>
        <v/>
      </c>
    </row>
    <row r="39" spans="1:20" x14ac:dyDescent="0.25">
      <c r="A39" s="4">
        <v>37</v>
      </c>
      <c r="B39" s="23" t="s">
        <v>141</v>
      </c>
      <c r="C39" s="4">
        <v>3</v>
      </c>
      <c r="D39" s="23" t="s">
        <v>300</v>
      </c>
      <c r="E39" s="4" t="s">
        <v>103</v>
      </c>
      <c r="F39" s="4" t="s">
        <v>104</v>
      </c>
      <c r="G39" s="4">
        <v>555</v>
      </c>
      <c r="H39" s="4">
        <v>735</v>
      </c>
      <c r="I39" s="4"/>
      <c r="J39" s="23" t="s">
        <v>53</v>
      </c>
      <c r="K39" s="23" t="s">
        <v>88</v>
      </c>
      <c r="L39" s="23" t="s">
        <v>149</v>
      </c>
      <c r="M39" s="4" t="s">
        <v>18</v>
      </c>
      <c r="N39" s="4"/>
      <c r="O39" s="23" t="s">
        <v>298</v>
      </c>
      <c r="P39" s="28">
        <v>46216</v>
      </c>
      <c r="Q39" s="28">
        <v>46370</v>
      </c>
      <c r="R39" s="4"/>
      <c r="S39" s="4" t="str">
        <f t="shared" ca="1" si="2"/>
        <v>Ongoing</v>
      </c>
      <c r="T39" s="4" t="str">
        <f t="shared" si="3"/>
        <v/>
      </c>
    </row>
    <row r="40" spans="1:20" x14ac:dyDescent="0.25">
      <c r="A40" s="7">
        <v>38</v>
      </c>
      <c r="B40" s="29" t="s">
        <v>141</v>
      </c>
      <c r="C40" s="7">
        <v>3</v>
      </c>
      <c r="D40" s="29" t="s">
        <v>300</v>
      </c>
      <c r="E40" s="7" t="s">
        <v>103</v>
      </c>
      <c r="F40" s="7" t="s">
        <v>104</v>
      </c>
      <c r="G40" s="7">
        <v>555</v>
      </c>
      <c r="H40" s="7">
        <v>735</v>
      </c>
      <c r="I40" s="7"/>
      <c r="J40" s="29" t="s">
        <v>48</v>
      </c>
      <c r="K40" s="29" t="s">
        <v>88</v>
      </c>
      <c r="L40" s="29" t="s">
        <v>146</v>
      </c>
      <c r="M40" s="7" t="s">
        <v>18</v>
      </c>
      <c r="N40" s="7"/>
      <c r="O40" s="29" t="s">
        <v>318</v>
      </c>
      <c r="P40" s="30">
        <v>46216</v>
      </c>
      <c r="Q40" s="30">
        <v>46630</v>
      </c>
      <c r="R40" s="7"/>
      <c r="S40" s="7" t="str">
        <f t="shared" ca="1" si="2"/>
        <v>Ongoing</v>
      </c>
      <c r="T40" s="7" t="str">
        <f t="shared" si="3"/>
        <v/>
      </c>
    </row>
    <row r="41" spans="1:20" x14ac:dyDescent="0.25">
      <c r="A41" s="4">
        <v>39</v>
      </c>
      <c r="B41" s="23" t="s">
        <v>141</v>
      </c>
      <c r="C41" s="4">
        <v>3</v>
      </c>
      <c r="D41" s="23" t="s">
        <v>300</v>
      </c>
      <c r="E41" s="4" t="s">
        <v>103</v>
      </c>
      <c r="F41" s="4" t="s">
        <v>104</v>
      </c>
      <c r="G41" s="4">
        <v>555</v>
      </c>
      <c r="H41" s="4">
        <v>735</v>
      </c>
      <c r="I41" s="4"/>
      <c r="J41" s="23" t="s">
        <v>51</v>
      </c>
      <c r="K41" s="23" t="s">
        <v>88</v>
      </c>
      <c r="L41" s="23" t="s">
        <v>147</v>
      </c>
      <c r="M41" s="4" t="s">
        <v>18</v>
      </c>
      <c r="N41" s="4"/>
      <c r="O41" s="23" t="s">
        <v>308</v>
      </c>
      <c r="P41" s="28">
        <v>46097</v>
      </c>
      <c r="Q41" s="28">
        <v>46226</v>
      </c>
      <c r="R41" s="4"/>
      <c r="S41" s="4" t="str">
        <f t="shared" ca="1" si="2"/>
        <v>Completed</v>
      </c>
      <c r="T41" s="4" t="str">
        <f t="shared" si="3"/>
        <v/>
      </c>
    </row>
    <row r="42" spans="1:20" x14ac:dyDescent="0.25">
      <c r="A42" s="7">
        <v>40</v>
      </c>
      <c r="B42" s="29" t="s">
        <v>141</v>
      </c>
      <c r="C42" s="7">
        <v>3</v>
      </c>
      <c r="D42" s="29" t="s">
        <v>300</v>
      </c>
      <c r="E42" s="7" t="s">
        <v>103</v>
      </c>
      <c r="F42" s="7" t="s">
        <v>104</v>
      </c>
      <c r="G42" s="7">
        <v>555</v>
      </c>
      <c r="H42" s="7">
        <v>735</v>
      </c>
      <c r="I42" s="7"/>
      <c r="J42" s="29" t="s">
        <v>44</v>
      </c>
      <c r="K42" s="29" t="s">
        <v>88</v>
      </c>
      <c r="L42" s="29" t="s">
        <v>143</v>
      </c>
      <c r="M42" s="7" t="s">
        <v>18</v>
      </c>
      <c r="N42" s="7"/>
      <c r="O42" s="29" t="s">
        <v>319</v>
      </c>
      <c r="P42" s="30">
        <v>46216</v>
      </c>
      <c r="Q42" s="30">
        <v>46328</v>
      </c>
      <c r="R42" s="7"/>
      <c r="S42" s="7" t="str">
        <f t="shared" ca="1" si="2"/>
        <v>Ongoing</v>
      </c>
      <c r="T42" s="7" t="str">
        <f t="shared" si="3"/>
        <v/>
      </c>
    </row>
    <row r="43" spans="1:20" x14ac:dyDescent="0.25">
      <c r="A43" s="4">
        <v>41</v>
      </c>
      <c r="B43" s="23" t="s">
        <v>141</v>
      </c>
      <c r="C43" s="4">
        <v>3</v>
      </c>
      <c r="D43" s="23" t="s">
        <v>300</v>
      </c>
      <c r="E43" s="4" t="s">
        <v>103</v>
      </c>
      <c r="F43" s="4" t="s">
        <v>104</v>
      </c>
      <c r="G43" s="4">
        <v>555</v>
      </c>
      <c r="H43" s="4">
        <v>735</v>
      </c>
      <c r="I43" s="4"/>
      <c r="J43" s="23" t="s">
        <v>45</v>
      </c>
      <c r="K43" s="23" t="s">
        <v>88</v>
      </c>
      <c r="L43" s="23" t="s">
        <v>144</v>
      </c>
      <c r="M43" s="4" t="s">
        <v>18</v>
      </c>
      <c r="N43" s="4"/>
      <c r="O43" s="23" t="s">
        <v>303</v>
      </c>
      <c r="P43" s="28">
        <v>46139</v>
      </c>
      <c r="Q43" s="28">
        <v>46314</v>
      </c>
      <c r="R43" s="4"/>
      <c r="S43" s="4" t="str">
        <f t="shared" ca="1" si="2"/>
        <v>Ongoing</v>
      </c>
      <c r="T43" s="4" t="str">
        <f t="shared" si="3"/>
        <v/>
      </c>
    </row>
    <row r="44" spans="1:20" x14ac:dyDescent="0.25">
      <c r="A44" s="7">
        <v>42</v>
      </c>
      <c r="B44" s="29" t="s">
        <v>141</v>
      </c>
      <c r="C44" s="7">
        <v>3</v>
      </c>
      <c r="D44" s="29" t="s">
        <v>300</v>
      </c>
      <c r="E44" s="7" t="s">
        <v>103</v>
      </c>
      <c r="F44" s="7" t="s">
        <v>104</v>
      </c>
      <c r="G44" s="7">
        <v>555</v>
      </c>
      <c r="H44" s="7">
        <v>735</v>
      </c>
      <c r="I44" s="7"/>
      <c r="J44" s="29" t="s">
        <v>46</v>
      </c>
      <c r="K44" s="29" t="s">
        <v>88</v>
      </c>
      <c r="L44" s="29" t="s">
        <v>145</v>
      </c>
      <c r="M44" s="7" t="s">
        <v>18</v>
      </c>
      <c r="N44" s="7"/>
      <c r="O44" s="29" t="s">
        <v>298</v>
      </c>
      <c r="P44" s="30">
        <v>46216</v>
      </c>
      <c r="Q44" s="30">
        <v>46370</v>
      </c>
      <c r="R44" s="7"/>
      <c r="S44" s="7" t="str">
        <f t="shared" ca="1" si="2"/>
        <v>Ongoing</v>
      </c>
      <c r="T44" s="7" t="str">
        <f t="shared" si="3"/>
        <v/>
      </c>
    </row>
    <row r="45" spans="1:20" x14ac:dyDescent="0.25">
      <c r="A45" s="4">
        <v>43</v>
      </c>
      <c r="B45" s="23" t="s">
        <v>141</v>
      </c>
      <c r="C45" s="4">
        <v>3</v>
      </c>
      <c r="D45" s="23" t="s">
        <v>302</v>
      </c>
      <c r="E45" s="4" t="s">
        <v>103</v>
      </c>
      <c r="F45" s="4" t="s">
        <v>111</v>
      </c>
      <c r="G45" s="4">
        <v>555</v>
      </c>
      <c r="H45" s="4">
        <v>975</v>
      </c>
      <c r="I45" s="4"/>
      <c r="J45" s="23" t="s">
        <v>35</v>
      </c>
      <c r="K45" s="23" t="s">
        <v>88</v>
      </c>
      <c r="L45" s="23" t="s">
        <v>142</v>
      </c>
      <c r="M45" s="4" t="s">
        <v>18</v>
      </c>
      <c r="N45" s="4"/>
      <c r="O45" s="23" t="s">
        <v>320</v>
      </c>
      <c r="P45" s="28">
        <v>46147</v>
      </c>
      <c r="Q45" s="28">
        <v>46259</v>
      </c>
      <c r="R45" s="4"/>
      <c r="S45" s="4" t="str">
        <f t="shared" ca="1" si="2"/>
        <v>Completed</v>
      </c>
      <c r="T45" s="4" t="str">
        <f t="shared" si="3"/>
        <v/>
      </c>
    </row>
    <row r="46" spans="1:20" x14ac:dyDescent="0.25">
      <c r="A46" s="7">
        <v>44</v>
      </c>
      <c r="B46" s="29" t="s">
        <v>141</v>
      </c>
      <c r="C46" s="7">
        <v>3</v>
      </c>
      <c r="D46" s="29" t="s">
        <v>311</v>
      </c>
      <c r="E46" s="7" t="s">
        <v>116</v>
      </c>
      <c r="F46" s="7" t="s">
        <v>111</v>
      </c>
      <c r="G46" s="7">
        <v>795</v>
      </c>
      <c r="H46" s="7">
        <v>975</v>
      </c>
      <c r="I46" s="7"/>
      <c r="J46" s="29" t="s">
        <v>53</v>
      </c>
      <c r="K46" s="29" t="s">
        <v>88</v>
      </c>
      <c r="L46" s="29" t="s">
        <v>156</v>
      </c>
      <c r="M46" s="7" t="s">
        <v>18</v>
      </c>
      <c r="N46" s="7"/>
      <c r="O46" s="29" t="s">
        <v>298</v>
      </c>
      <c r="P46" s="30">
        <v>46216</v>
      </c>
      <c r="Q46" s="30">
        <v>46370</v>
      </c>
      <c r="R46" s="7"/>
      <c r="S46" s="7" t="str">
        <f t="shared" ca="1" si="2"/>
        <v>Ongoing</v>
      </c>
      <c r="T46" s="7" t="str">
        <f t="shared" si="3"/>
        <v/>
      </c>
    </row>
    <row r="47" spans="1:20" x14ac:dyDescent="0.25">
      <c r="A47" s="4">
        <v>45</v>
      </c>
      <c r="B47" s="23" t="s">
        <v>141</v>
      </c>
      <c r="C47" s="4">
        <v>3</v>
      </c>
      <c r="D47" s="23" t="s">
        <v>311</v>
      </c>
      <c r="E47" s="4" t="s">
        <v>116</v>
      </c>
      <c r="F47" s="4" t="s">
        <v>111</v>
      </c>
      <c r="G47" s="4">
        <v>795</v>
      </c>
      <c r="H47" s="4">
        <v>975</v>
      </c>
      <c r="I47" s="4"/>
      <c r="J47" s="23" t="s">
        <v>54</v>
      </c>
      <c r="K47" s="23" t="s">
        <v>88</v>
      </c>
      <c r="L47" s="23" t="s">
        <v>157</v>
      </c>
      <c r="M47" s="4" t="s">
        <v>18</v>
      </c>
      <c r="N47" s="4"/>
      <c r="O47" s="23" t="s">
        <v>320</v>
      </c>
      <c r="P47" s="28">
        <v>46147</v>
      </c>
      <c r="Q47" s="28">
        <v>46259</v>
      </c>
      <c r="R47" s="4"/>
      <c r="S47" s="4" t="str">
        <f t="shared" ca="1" si="2"/>
        <v>Completed</v>
      </c>
      <c r="T47" s="4" t="str">
        <f t="shared" si="3"/>
        <v/>
      </c>
    </row>
    <row r="48" spans="1:20" x14ac:dyDescent="0.25">
      <c r="A48" s="7">
        <v>46</v>
      </c>
      <c r="B48" s="29" t="s">
        <v>141</v>
      </c>
      <c r="C48" s="7">
        <v>3</v>
      </c>
      <c r="D48" s="29" t="s">
        <v>311</v>
      </c>
      <c r="E48" s="7" t="s">
        <v>116</v>
      </c>
      <c r="F48" s="7" t="s">
        <v>111</v>
      </c>
      <c r="G48" s="7">
        <v>795</v>
      </c>
      <c r="H48" s="7">
        <v>975</v>
      </c>
      <c r="I48" s="7"/>
      <c r="J48" s="29" t="s">
        <v>55</v>
      </c>
      <c r="K48" s="29" t="s">
        <v>88</v>
      </c>
      <c r="L48" s="29" t="s">
        <v>158</v>
      </c>
      <c r="M48" s="7" t="s">
        <v>18</v>
      </c>
      <c r="N48" s="7"/>
      <c r="O48" s="29" t="s">
        <v>304</v>
      </c>
      <c r="P48" s="30">
        <v>46210</v>
      </c>
      <c r="Q48" s="30">
        <v>46346</v>
      </c>
      <c r="R48" s="7"/>
      <c r="S48" s="7" t="str">
        <f t="shared" ca="1" si="2"/>
        <v>Ongoing</v>
      </c>
      <c r="T48" s="7" t="str">
        <f t="shared" si="3"/>
        <v/>
      </c>
    </row>
    <row r="49" spans="1:20" x14ac:dyDescent="0.25">
      <c r="A49" s="4">
        <v>47</v>
      </c>
      <c r="B49" s="23" t="s">
        <v>141</v>
      </c>
      <c r="C49" s="4">
        <v>3</v>
      </c>
      <c r="D49" s="23" t="s">
        <v>311</v>
      </c>
      <c r="E49" s="4" t="s">
        <v>116</v>
      </c>
      <c r="F49" s="4" t="s">
        <v>111</v>
      </c>
      <c r="G49" s="4">
        <v>795</v>
      </c>
      <c r="H49" s="4">
        <v>975</v>
      </c>
      <c r="I49" s="4"/>
      <c r="J49" s="23" t="s">
        <v>51</v>
      </c>
      <c r="K49" s="23" t="s">
        <v>88</v>
      </c>
      <c r="L49" s="23" t="s">
        <v>155</v>
      </c>
      <c r="M49" s="4" t="s">
        <v>18</v>
      </c>
      <c r="N49" s="4"/>
      <c r="O49" s="23" t="s">
        <v>303</v>
      </c>
      <c r="P49" s="28">
        <v>46139</v>
      </c>
      <c r="Q49" s="28">
        <v>46314</v>
      </c>
      <c r="R49" s="4"/>
      <c r="S49" s="4" t="str">
        <f t="shared" ca="1" si="2"/>
        <v>Ongoing</v>
      </c>
      <c r="T49" s="4" t="str">
        <f t="shared" si="3"/>
        <v/>
      </c>
    </row>
    <row r="50" spans="1:20" x14ac:dyDescent="0.25">
      <c r="A50" s="7">
        <v>48</v>
      </c>
      <c r="B50" s="29" t="s">
        <v>141</v>
      </c>
      <c r="C50" s="7">
        <v>3</v>
      </c>
      <c r="D50" s="29" t="s">
        <v>311</v>
      </c>
      <c r="E50" s="7" t="s">
        <v>116</v>
      </c>
      <c r="F50" s="7" t="s">
        <v>111</v>
      </c>
      <c r="G50" s="7">
        <v>795</v>
      </c>
      <c r="H50" s="7">
        <v>975</v>
      </c>
      <c r="I50" s="7"/>
      <c r="J50" s="29" t="s">
        <v>44</v>
      </c>
      <c r="K50" s="29" t="s">
        <v>88</v>
      </c>
      <c r="L50" s="29" t="s">
        <v>154</v>
      </c>
      <c r="M50" s="7" t="s">
        <v>18</v>
      </c>
      <c r="N50" s="7"/>
      <c r="O50" s="29" t="s">
        <v>319</v>
      </c>
      <c r="P50" s="30">
        <v>46216</v>
      </c>
      <c r="Q50" s="30">
        <v>46328</v>
      </c>
      <c r="R50" s="7"/>
      <c r="S50" s="7" t="str">
        <f t="shared" ca="1" si="2"/>
        <v>Ongoing</v>
      </c>
      <c r="T50" s="7" t="str">
        <f t="shared" si="3"/>
        <v/>
      </c>
    </row>
    <row r="51" spans="1:20" x14ac:dyDescent="0.25">
      <c r="A51" s="4">
        <v>49</v>
      </c>
      <c r="B51" s="23" t="s">
        <v>141</v>
      </c>
      <c r="C51" s="4">
        <v>3</v>
      </c>
      <c r="D51" s="23" t="s">
        <v>311</v>
      </c>
      <c r="E51" s="4" t="s">
        <v>116</v>
      </c>
      <c r="F51" s="4" t="s">
        <v>111</v>
      </c>
      <c r="G51" s="4">
        <v>795</v>
      </c>
      <c r="H51" s="4">
        <v>975</v>
      </c>
      <c r="I51" s="4"/>
      <c r="J51" s="23" t="s">
        <v>36</v>
      </c>
      <c r="K51" s="23" t="s">
        <v>88</v>
      </c>
      <c r="L51" s="23" t="s">
        <v>150</v>
      </c>
      <c r="M51" s="4" t="s">
        <v>18</v>
      </c>
      <c r="N51" s="4"/>
      <c r="O51" s="23" t="s">
        <v>307</v>
      </c>
      <c r="P51" s="28">
        <v>46216</v>
      </c>
      <c r="Q51" s="28">
        <v>46630</v>
      </c>
      <c r="R51" s="4"/>
      <c r="S51" s="4" t="str">
        <f t="shared" ca="1" si="2"/>
        <v>Ongoing</v>
      </c>
      <c r="T51" s="4" t="str">
        <f t="shared" si="3"/>
        <v/>
      </c>
    </row>
    <row r="52" spans="1:20" x14ac:dyDescent="0.25">
      <c r="A52" s="7">
        <v>50</v>
      </c>
      <c r="B52" s="29" t="s">
        <v>141</v>
      </c>
      <c r="C52" s="7">
        <v>3</v>
      </c>
      <c r="D52" s="29" t="s">
        <v>311</v>
      </c>
      <c r="E52" s="7" t="s">
        <v>116</v>
      </c>
      <c r="F52" s="7" t="s">
        <v>111</v>
      </c>
      <c r="G52" s="7">
        <v>795</v>
      </c>
      <c r="H52" s="7">
        <v>975</v>
      </c>
      <c r="I52" s="7"/>
      <c r="J52" s="29" t="s">
        <v>37</v>
      </c>
      <c r="K52" s="29" t="s">
        <v>88</v>
      </c>
      <c r="L52" s="29" t="s">
        <v>151</v>
      </c>
      <c r="M52" s="7" t="s">
        <v>18</v>
      </c>
      <c r="N52" s="7"/>
      <c r="O52" s="29" t="s">
        <v>298</v>
      </c>
      <c r="P52" s="30">
        <v>46216</v>
      </c>
      <c r="Q52" s="30">
        <v>46370</v>
      </c>
      <c r="R52" s="7"/>
      <c r="S52" s="7" t="str">
        <f t="shared" ca="1" si="2"/>
        <v>Ongoing</v>
      </c>
      <c r="T52" s="7" t="str">
        <f t="shared" si="3"/>
        <v/>
      </c>
    </row>
    <row r="53" spans="1:20" x14ac:dyDescent="0.25">
      <c r="A53" s="4">
        <v>51</v>
      </c>
      <c r="B53" s="23" t="s">
        <v>141</v>
      </c>
      <c r="C53" s="4">
        <v>3</v>
      </c>
      <c r="D53" s="23" t="s">
        <v>311</v>
      </c>
      <c r="E53" s="4" t="s">
        <v>116</v>
      </c>
      <c r="F53" s="4" t="s">
        <v>111</v>
      </c>
      <c r="G53" s="4">
        <v>795</v>
      </c>
      <c r="H53" s="4">
        <v>975</v>
      </c>
      <c r="I53" s="4"/>
      <c r="J53" s="23" t="s">
        <v>38</v>
      </c>
      <c r="K53" s="23" t="s">
        <v>88</v>
      </c>
      <c r="L53" s="23" t="s">
        <v>152</v>
      </c>
      <c r="M53" s="4" t="s">
        <v>19</v>
      </c>
      <c r="N53" s="4"/>
      <c r="O53" s="23" t="s">
        <v>321</v>
      </c>
      <c r="P53" s="28">
        <v>46097</v>
      </c>
      <c r="Q53" s="28">
        <v>46226</v>
      </c>
      <c r="R53" s="4"/>
      <c r="S53" s="4" t="str">
        <f t="shared" ca="1" si="2"/>
        <v>Completed</v>
      </c>
      <c r="T53" s="4" t="str">
        <f t="shared" si="3"/>
        <v/>
      </c>
    </row>
    <row r="54" spans="1:20" x14ac:dyDescent="0.25">
      <c r="A54" s="7">
        <v>52</v>
      </c>
      <c r="B54" s="29" t="s">
        <v>141</v>
      </c>
      <c r="C54" s="7">
        <v>3</v>
      </c>
      <c r="D54" s="29" t="s">
        <v>311</v>
      </c>
      <c r="E54" s="7" t="s">
        <v>116</v>
      </c>
      <c r="F54" s="7" t="s">
        <v>111</v>
      </c>
      <c r="G54" s="7">
        <v>795</v>
      </c>
      <c r="H54" s="7">
        <v>975</v>
      </c>
      <c r="I54" s="7"/>
      <c r="J54" s="29" t="s">
        <v>39</v>
      </c>
      <c r="K54" s="29" t="s">
        <v>88</v>
      </c>
      <c r="L54" s="29" t="s">
        <v>153</v>
      </c>
      <c r="M54" s="7" t="s">
        <v>18</v>
      </c>
      <c r="N54" s="7"/>
      <c r="O54" s="29" t="s">
        <v>316</v>
      </c>
      <c r="P54" s="30">
        <v>46097</v>
      </c>
      <c r="Q54" s="30">
        <v>46226</v>
      </c>
      <c r="R54" s="7"/>
      <c r="S54" s="7" t="str">
        <f t="shared" ca="1" si="2"/>
        <v>Completed</v>
      </c>
      <c r="T54" s="7" t="str">
        <f t="shared" si="3"/>
        <v/>
      </c>
    </row>
    <row r="55" spans="1:20" x14ac:dyDescent="0.25">
      <c r="A55" s="4">
        <v>53</v>
      </c>
      <c r="B55" s="23" t="s">
        <v>159</v>
      </c>
      <c r="C55" s="4">
        <v>4</v>
      </c>
      <c r="D55" s="23" t="s">
        <v>322</v>
      </c>
      <c r="E55" s="4" t="s">
        <v>99</v>
      </c>
      <c r="F55" s="4" t="s">
        <v>104</v>
      </c>
      <c r="G55" s="4">
        <v>495</v>
      </c>
      <c r="H55" s="4">
        <v>735</v>
      </c>
      <c r="I55" s="4"/>
      <c r="J55" s="23" t="s">
        <v>52</v>
      </c>
      <c r="K55" s="23" t="s">
        <v>88</v>
      </c>
      <c r="L55" s="23" t="s">
        <v>160</v>
      </c>
      <c r="M55" s="4" t="s">
        <v>19</v>
      </c>
      <c r="N55" s="4"/>
      <c r="O55" s="23" t="s">
        <v>323</v>
      </c>
      <c r="P55" s="28">
        <v>46190</v>
      </c>
      <c r="Q55" s="28">
        <v>46286</v>
      </c>
      <c r="R55" s="4"/>
      <c r="S55" s="4" t="str">
        <f t="shared" ca="1" si="2"/>
        <v>Ongoing</v>
      </c>
      <c r="T55" s="4" t="str">
        <f t="shared" si="3"/>
        <v/>
      </c>
    </row>
    <row r="56" spans="1:20" x14ac:dyDescent="0.25">
      <c r="A56" s="7">
        <v>54</v>
      </c>
      <c r="B56" s="29" t="s">
        <v>159</v>
      </c>
      <c r="C56" s="7">
        <v>4</v>
      </c>
      <c r="D56" s="29" t="s">
        <v>300</v>
      </c>
      <c r="E56" s="7" t="s">
        <v>103</v>
      </c>
      <c r="F56" s="7" t="s">
        <v>104</v>
      </c>
      <c r="G56" s="7">
        <v>555</v>
      </c>
      <c r="H56" s="7">
        <v>735</v>
      </c>
      <c r="I56" s="7"/>
      <c r="J56" s="29" t="s">
        <v>54</v>
      </c>
      <c r="K56" s="29" t="s">
        <v>88</v>
      </c>
      <c r="L56" s="29" t="s">
        <v>169</v>
      </c>
      <c r="M56" s="7" t="s">
        <v>19</v>
      </c>
      <c r="N56" s="7"/>
      <c r="O56" s="29" t="s">
        <v>315</v>
      </c>
      <c r="P56" s="30">
        <v>46153</v>
      </c>
      <c r="Q56" s="30">
        <v>46251</v>
      </c>
      <c r="R56" s="7"/>
      <c r="S56" s="7" t="str">
        <f t="shared" ca="1" si="2"/>
        <v>Completed</v>
      </c>
      <c r="T56" s="7" t="str">
        <f t="shared" si="3"/>
        <v/>
      </c>
    </row>
    <row r="57" spans="1:20" x14ac:dyDescent="0.25">
      <c r="A57" s="4">
        <v>55</v>
      </c>
      <c r="B57" s="23" t="s">
        <v>159</v>
      </c>
      <c r="C57" s="4">
        <v>4</v>
      </c>
      <c r="D57" s="23" t="s">
        <v>302</v>
      </c>
      <c r="E57" s="4" t="s">
        <v>103</v>
      </c>
      <c r="F57" s="4" t="s">
        <v>111</v>
      </c>
      <c r="G57" s="4">
        <v>555</v>
      </c>
      <c r="H57" s="4">
        <v>975</v>
      </c>
      <c r="I57" s="4"/>
      <c r="J57" s="23" t="s">
        <v>55</v>
      </c>
      <c r="K57" s="23" t="s">
        <v>88</v>
      </c>
      <c r="L57" s="23" t="s">
        <v>170</v>
      </c>
      <c r="M57" s="4" t="s">
        <v>18</v>
      </c>
      <c r="N57" s="4"/>
      <c r="O57" s="23" t="s">
        <v>316</v>
      </c>
      <c r="P57" s="28">
        <v>46097</v>
      </c>
      <c r="Q57" s="28">
        <v>46226</v>
      </c>
      <c r="R57" s="4"/>
      <c r="S57" s="4" t="str">
        <f t="shared" ca="1" si="2"/>
        <v>Completed</v>
      </c>
      <c r="T57" s="4" t="str">
        <f t="shared" si="3"/>
        <v/>
      </c>
    </row>
    <row r="58" spans="1:20" x14ac:dyDescent="0.25">
      <c r="A58" s="7">
        <v>56</v>
      </c>
      <c r="B58" s="29" t="s">
        <v>159</v>
      </c>
      <c r="C58" s="7">
        <v>4</v>
      </c>
      <c r="D58" s="29" t="s">
        <v>300</v>
      </c>
      <c r="E58" s="7" t="s">
        <v>103</v>
      </c>
      <c r="F58" s="7" t="s">
        <v>104</v>
      </c>
      <c r="G58" s="7">
        <v>555</v>
      </c>
      <c r="H58" s="7">
        <v>735</v>
      </c>
      <c r="I58" s="7"/>
      <c r="J58" s="29" t="s">
        <v>56</v>
      </c>
      <c r="K58" s="29" t="s">
        <v>88</v>
      </c>
      <c r="L58" s="29" t="s">
        <v>171</v>
      </c>
      <c r="M58" s="7" t="s">
        <v>18</v>
      </c>
      <c r="N58" s="7"/>
      <c r="O58" s="29" t="s">
        <v>304</v>
      </c>
      <c r="P58" s="30">
        <v>46210</v>
      </c>
      <c r="Q58" s="30">
        <v>46346</v>
      </c>
      <c r="R58" s="7"/>
      <c r="S58" s="7" t="str">
        <f t="shared" ca="1" si="2"/>
        <v>Ongoing</v>
      </c>
      <c r="T58" s="7" t="str">
        <f t="shared" si="3"/>
        <v/>
      </c>
    </row>
    <row r="59" spans="1:20" x14ac:dyDescent="0.25">
      <c r="A59" s="4">
        <v>57</v>
      </c>
      <c r="B59" s="23" t="s">
        <v>159</v>
      </c>
      <c r="C59" s="4">
        <v>4</v>
      </c>
      <c r="D59" s="23" t="s">
        <v>300</v>
      </c>
      <c r="E59" s="4" t="s">
        <v>103</v>
      </c>
      <c r="F59" s="4" t="s">
        <v>104</v>
      </c>
      <c r="G59" s="4">
        <v>555</v>
      </c>
      <c r="H59" s="4">
        <v>735</v>
      </c>
      <c r="I59" s="4"/>
      <c r="J59" s="23" t="s">
        <v>50</v>
      </c>
      <c r="K59" s="23" t="s">
        <v>88</v>
      </c>
      <c r="L59" s="23" t="s">
        <v>167</v>
      </c>
      <c r="M59" s="4" t="s">
        <v>18</v>
      </c>
      <c r="N59" s="4"/>
      <c r="O59" s="23" t="s">
        <v>301</v>
      </c>
      <c r="P59" s="28">
        <v>46216</v>
      </c>
      <c r="Q59" s="28">
        <v>46328</v>
      </c>
      <c r="R59" s="4"/>
      <c r="S59" s="4" t="str">
        <f t="shared" ca="1" si="2"/>
        <v>Ongoing</v>
      </c>
      <c r="T59" s="4" t="str">
        <f t="shared" si="3"/>
        <v/>
      </c>
    </row>
    <row r="60" spans="1:20" x14ac:dyDescent="0.25">
      <c r="A60" s="7">
        <v>58</v>
      </c>
      <c r="B60" s="29" t="s">
        <v>159</v>
      </c>
      <c r="C60" s="7">
        <v>4</v>
      </c>
      <c r="D60" s="29" t="s">
        <v>300</v>
      </c>
      <c r="E60" s="7" t="s">
        <v>103</v>
      </c>
      <c r="F60" s="7" t="s">
        <v>104</v>
      </c>
      <c r="G60" s="7">
        <v>555</v>
      </c>
      <c r="H60" s="7">
        <v>735</v>
      </c>
      <c r="I60" s="7"/>
      <c r="J60" s="29" t="s">
        <v>51</v>
      </c>
      <c r="K60" s="29" t="s">
        <v>88</v>
      </c>
      <c r="L60" s="29" t="s">
        <v>168</v>
      </c>
      <c r="M60" s="7" t="s">
        <v>18</v>
      </c>
      <c r="N60" s="7"/>
      <c r="O60" s="29" t="s">
        <v>303</v>
      </c>
      <c r="P60" s="30">
        <v>46139</v>
      </c>
      <c r="Q60" s="30">
        <v>46314</v>
      </c>
      <c r="R60" s="7"/>
      <c r="S60" s="7" t="str">
        <f t="shared" ca="1" si="2"/>
        <v>Ongoing</v>
      </c>
      <c r="T60" s="7" t="str">
        <f t="shared" si="3"/>
        <v/>
      </c>
    </row>
    <row r="61" spans="1:20" x14ac:dyDescent="0.25">
      <c r="A61" s="4">
        <v>59</v>
      </c>
      <c r="B61" s="23" t="s">
        <v>159</v>
      </c>
      <c r="C61" s="4">
        <v>4</v>
      </c>
      <c r="D61" s="23" t="s">
        <v>300</v>
      </c>
      <c r="E61" s="4" t="s">
        <v>103</v>
      </c>
      <c r="F61" s="4" t="s">
        <v>104</v>
      </c>
      <c r="G61" s="4">
        <v>555</v>
      </c>
      <c r="H61" s="4">
        <v>735</v>
      </c>
      <c r="I61" s="4"/>
      <c r="J61" s="23" t="s">
        <v>44</v>
      </c>
      <c r="K61" s="23" t="s">
        <v>88</v>
      </c>
      <c r="L61" s="23" t="s">
        <v>164</v>
      </c>
      <c r="M61" s="4" t="s">
        <v>18</v>
      </c>
      <c r="N61" s="4"/>
      <c r="O61" s="23" t="s">
        <v>306</v>
      </c>
      <c r="P61" s="28">
        <v>46191</v>
      </c>
      <c r="Q61" s="28">
        <v>46323</v>
      </c>
      <c r="R61" s="4"/>
      <c r="S61" s="4" t="str">
        <f t="shared" ca="1" si="2"/>
        <v>Ongoing</v>
      </c>
      <c r="T61" s="4" t="str">
        <f t="shared" si="3"/>
        <v/>
      </c>
    </row>
    <row r="62" spans="1:20" x14ac:dyDescent="0.25">
      <c r="A62" s="7">
        <v>60</v>
      </c>
      <c r="B62" s="29" t="s">
        <v>159</v>
      </c>
      <c r="C62" s="7">
        <v>4</v>
      </c>
      <c r="D62" s="29" t="s">
        <v>300</v>
      </c>
      <c r="E62" s="7" t="s">
        <v>103</v>
      </c>
      <c r="F62" s="7" t="s">
        <v>104</v>
      </c>
      <c r="G62" s="7">
        <v>555</v>
      </c>
      <c r="H62" s="7">
        <v>735</v>
      </c>
      <c r="I62" s="7"/>
      <c r="J62" s="29" t="s">
        <v>45</v>
      </c>
      <c r="K62" s="29" t="s">
        <v>88</v>
      </c>
      <c r="L62" s="29" t="s">
        <v>165</v>
      </c>
      <c r="M62" s="7" t="s">
        <v>18</v>
      </c>
      <c r="N62" s="7"/>
      <c r="O62" s="29" t="s">
        <v>306</v>
      </c>
      <c r="P62" s="30">
        <v>46191</v>
      </c>
      <c r="Q62" s="30">
        <v>46323</v>
      </c>
      <c r="R62" s="7"/>
      <c r="S62" s="7" t="str">
        <f t="shared" ca="1" si="2"/>
        <v>Ongoing</v>
      </c>
      <c r="T62" s="7" t="str">
        <f t="shared" si="3"/>
        <v/>
      </c>
    </row>
    <row r="63" spans="1:20" x14ac:dyDescent="0.25">
      <c r="A63" s="4">
        <v>61</v>
      </c>
      <c r="B63" s="23" t="s">
        <v>159</v>
      </c>
      <c r="C63" s="4">
        <v>4</v>
      </c>
      <c r="D63" s="23" t="s">
        <v>300</v>
      </c>
      <c r="E63" s="4" t="s">
        <v>103</v>
      </c>
      <c r="F63" s="4" t="s">
        <v>104</v>
      </c>
      <c r="G63" s="4">
        <v>555</v>
      </c>
      <c r="H63" s="4">
        <v>735</v>
      </c>
      <c r="I63" s="4"/>
      <c r="J63" s="23" t="s">
        <v>47</v>
      </c>
      <c r="K63" s="23" t="s">
        <v>88</v>
      </c>
      <c r="L63" s="23" t="s">
        <v>166</v>
      </c>
      <c r="M63" s="4" t="s">
        <v>18</v>
      </c>
      <c r="N63" s="4"/>
      <c r="O63" s="23" t="s">
        <v>306</v>
      </c>
      <c r="P63" s="28">
        <v>46191</v>
      </c>
      <c r="Q63" s="28">
        <v>46323</v>
      </c>
      <c r="R63" s="4"/>
      <c r="S63" s="4" t="str">
        <f t="shared" ca="1" si="2"/>
        <v>Ongoing</v>
      </c>
      <c r="T63" s="4" t="str">
        <f t="shared" si="3"/>
        <v/>
      </c>
    </row>
    <row r="64" spans="1:20" x14ac:dyDescent="0.25">
      <c r="A64" s="7">
        <v>62</v>
      </c>
      <c r="B64" s="29" t="s">
        <v>159</v>
      </c>
      <c r="C64" s="7">
        <v>4</v>
      </c>
      <c r="D64" s="29" t="s">
        <v>300</v>
      </c>
      <c r="E64" s="7" t="s">
        <v>103</v>
      </c>
      <c r="F64" s="7" t="s">
        <v>104</v>
      </c>
      <c r="G64" s="7">
        <v>555</v>
      </c>
      <c r="H64" s="7">
        <v>735</v>
      </c>
      <c r="I64" s="7"/>
      <c r="J64" s="29" t="s">
        <v>35</v>
      </c>
      <c r="K64" s="29" t="s">
        <v>88</v>
      </c>
      <c r="L64" s="29" t="s">
        <v>161</v>
      </c>
      <c r="M64" s="7" t="s">
        <v>18</v>
      </c>
      <c r="N64" s="7"/>
      <c r="O64" s="29" t="s">
        <v>298</v>
      </c>
      <c r="P64" s="30">
        <v>46216</v>
      </c>
      <c r="Q64" s="30">
        <v>46370</v>
      </c>
      <c r="R64" s="7"/>
      <c r="S64" s="7" t="str">
        <f t="shared" ca="1" si="2"/>
        <v>Ongoing</v>
      </c>
      <c r="T64" s="7" t="str">
        <f t="shared" si="3"/>
        <v/>
      </c>
    </row>
    <row r="65" spans="1:20" x14ac:dyDescent="0.25">
      <c r="A65" s="4">
        <v>63</v>
      </c>
      <c r="B65" s="23" t="s">
        <v>159</v>
      </c>
      <c r="C65" s="4">
        <v>4</v>
      </c>
      <c r="D65" s="23" t="s">
        <v>300</v>
      </c>
      <c r="E65" s="4" t="s">
        <v>103</v>
      </c>
      <c r="F65" s="4" t="s">
        <v>104</v>
      </c>
      <c r="G65" s="4">
        <v>555</v>
      </c>
      <c r="H65" s="4">
        <v>735</v>
      </c>
      <c r="I65" s="4"/>
      <c r="J65" s="23" t="s">
        <v>36</v>
      </c>
      <c r="K65" s="23" t="s">
        <v>88</v>
      </c>
      <c r="L65" s="23" t="s">
        <v>162</v>
      </c>
      <c r="M65" s="4" t="s">
        <v>18</v>
      </c>
      <c r="N65" s="4"/>
      <c r="O65" s="23" t="s">
        <v>307</v>
      </c>
      <c r="P65" s="28">
        <v>46216</v>
      </c>
      <c r="Q65" s="28">
        <v>46630</v>
      </c>
      <c r="R65" s="4"/>
      <c r="S65" s="4" t="str">
        <f t="shared" ca="1" si="2"/>
        <v>Ongoing</v>
      </c>
      <c r="T65" s="4" t="str">
        <f t="shared" si="3"/>
        <v/>
      </c>
    </row>
    <row r="66" spans="1:20" x14ac:dyDescent="0.25">
      <c r="A66" s="7">
        <v>64</v>
      </c>
      <c r="B66" s="29" t="s">
        <v>159</v>
      </c>
      <c r="C66" s="7">
        <v>4</v>
      </c>
      <c r="D66" s="29" t="s">
        <v>300</v>
      </c>
      <c r="E66" s="7" t="s">
        <v>103</v>
      </c>
      <c r="F66" s="7" t="s">
        <v>104</v>
      </c>
      <c r="G66" s="7">
        <v>555</v>
      </c>
      <c r="H66" s="7">
        <v>735</v>
      </c>
      <c r="I66" s="7"/>
      <c r="J66" s="29" t="s">
        <v>37</v>
      </c>
      <c r="K66" s="29" t="s">
        <v>88</v>
      </c>
      <c r="L66" s="29" t="s">
        <v>163</v>
      </c>
      <c r="M66" s="7" t="s">
        <v>18</v>
      </c>
      <c r="N66" s="7"/>
      <c r="O66" s="29" t="s">
        <v>316</v>
      </c>
      <c r="P66" s="30">
        <v>46097</v>
      </c>
      <c r="Q66" s="30">
        <v>46226</v>
      </c>
      <c r="R66" s="7"/>
      <c r="S66" s="7" t="str">
        <f t="shared" ca="1" si="2"/>
        <v>Completed</v>
      </c>
      <c r="T66" s="7" t="str">
        <f t="shared" si="3"/>
        <v/>
      </c>
    </row>
    <row r="67" spans="1:20" x14ac:dyDescent="0.25">
      <c r="A67" s="4">
        <v>65</v>
      </c>
      <c r="B67" s="23" t="s">
        <v>159</v>
      </c>
      <c r="C67" s="4">
        <v>4</v>
      </c>
      <c r="D67" s="23" t="s">
        <v>300</v>
      </c>
      <c r="E67" s="4" t="s">
        <v>103</v>
      </c>
      <c r="F67" s="4" t="s">
        <v>104</v>
      </c>
      <c r="G67" s="4">
        <v>555</v>
      </c>
      <c r="H67" s="4">
        <v>735</v>
      </c>
      <c r="I67" s="4"/>
      <c r="J67" s="23" t="s">
        <v>38</v>
      </c>
      <c r="K67" s="23" t="s">
        <v>88</v>
      </c>
      <c r="L67" s="23" t="s">
        <v>152</v>
      </c>
      <c r="M67" s="4" t="s">
        <v>19</v>
      </c>
      <c r="N67" s="4"/>
      <c r="O67" s="23" t="s">
        <v>321</v>
      </c>
      <c r="P67" s="28">
        <v>46097</v>
      </c>
      <c r="Q67" s="28">
        <v>46226</v>
      </c>
      <c r="R67" s="4"/>
      <c r="S67" s="4" t="str">
        <f t="shared" ref="S67:S98" ca="1" si="4">IF(OR(P67="",Q67=""),"Unknown (missing duration data)",IF(TODAY()&gt;Q67,"Completed",IF(TODAY()&lt;P67,"Upcoming","Ongoing")))</f>
        <v>Completed</v>
      </c>
      <c r="T67" s="4" t="str">
        <f t="shared" ref="T67:T98" si="5">IF(SUMPRODUCT(($J$3:$J$165=J67)*($B$3:$B$165=B67)*($A$3:$A$165&lt;&gt;A67)*($G$3:$G$165&lt;H67)*($H$3:$H$165&gt;G67))&gt;0,"CONFLICT","")</f>
        <v/>
      </c>
    </row>
    <row r="68" spans="1:20" x14ac:dyDescent="0.25">
      <c r="A68" s="7">
        <v>66</v>
      </c>
      <c r="B68" s="29" t="s">
        <v>159</v>
      </c>
      <c r="C68" s="7">
        <v>4</v>
      </c>
      <c r="D68" s="29" t="s">
        <v>310</v>
      </c>
      <c r="E68" s="7" t="s">
        <v>104</v>
      </c>
      <c r="F68" s="7" t="s">
        <v>113</v>
      </c>
      <c r="G68" s="7">
        <v>735</v>
      </c>
      <c r="H68" s="7">
        <v>915</v>
      </c>
      <c r="I68" s="7"/>
      <c r="J68" s="29" t="s">
        <v>52</v>
      </c>
      <c r="K68" s="29" t="s">
        <v>88</v>
      </c>
      <c r="L68" s="29" t="s">
        <v>173</v>
      </c>
      <c r="M68" s="7" t="s">
        <v>19</v>
      </c>
      <c r="N68" s="7"/>
      <c r="O68" s="29" t="s">
        <v>323</v>
      </c>
      <c r="P68" s="30">
        <v>46190</v>
      </c>
      <c r="Q68" s="30">
        <v>46286</v>
      </c>
      <c r="R68" s="7"/>
      <c r="S68" s="7" t="str">
        <f t="shared" ca="1" si="4"/>
        <v>Ongoing</v>
      </c>
      <c r="T68" s="7" t="str">
        <f t="shared" si="5"/>
        <v/>
      </c>
    </row>
    <row r="69" spans="1:20" x14ac:dyDescent="0.25">
      <c r="A69" s="4">
        <v>67</v>
      </c>
      <c r="B69" s="23" t="s">
        <v>159</v>
      </c>
      <c r="C69" s="4">
        <v>4</v>
      </c>
      <c r="D69" s="23" t="s">
        <v>310</v>
      </c>
      <c r="E69" s="4" t="s">
        <v>104</v>
      </c>
      <c r="F69" s="4" t="s">
        <v>113</v>
      </c>
      <c r="G69" s="4">
        <v>735</v>
      </c>
      <c r="H69" s="4">
        <v>915</v>
      </c>
      <c r="I69" s="4"/>
      <c r="J69" s="23" t="s">
        <v>45</v>
      </c>
      <c r="K69" s="23" t="s">
        <v>88</v>
      </c>
      <c r="L69" s="23" t="s">
        <v>172</v>
      </c>
      <c r="M69" s="4" t="s">
        <v>18</v>
      </c>
      <c r="N69" s="4"/>
      <c r="O69" s="23" t="s">
        <v>299</v>
      </c>
      <c r="P69" s="28">
        <v>46139</v>
      </c>
      <c r="Q69" s="28">
        <v>46261</v>
      </c>
      <c r="R69" s="4"/>
      <c r="S69" s="4" t="str">
        <f t="shared" ca="1" si="4"/>
        <v>Completed</v>
      </c>
      <c r="T69" s="4" t="str">
        <f t="shared" si="5"/>
        <v/>
      </c>
    </row>
    <row r="70" spans="1:20" x14ac:dyDescent="0.25">
      <c r="A70" s="7">
        <v>68</v>
      </c>
      <c r="B70" s="29" t="s">
        <v>159</v>
      </c>
      <c r="C70" s="7">
        <v>4</v>
      </c>
      <c r="D70" s="29" t="s">
        <v>311</v>
      </c>
      <c r="E70" s="7" t="s">
        <v>116</v>
      </c>
      <c r="F70" s="7" t="s">
        <v>111</v>
      </c>
      <c r="G70" s="7">
        <v>795</v>
      </c>
      <c r="H70" s="7">
        <v>975</v>
      </c>
      <c r="I70" s="7"/>
      <c r="J70" s="29" t="s">
        <v>56</v>
      </c>
      <c r="K70" s="29" t="s">
        <v>88</v>
      </c>
      <c r="L70" s="29" t="s">
        <v>182</v>
      </c>
      <c r="M70" s="7" t="s">
        <v>18</v>
      </c>
      <c r="N70" s="7"/>
      <c r="O70" s="29" t="s">
        <v>306</v>
      </c>
      <c r="P70" s="30">
        <v>46191</v>
      </c>
      <c r="Q70" s="30">
        <v>46323</v>
      </c>
      <c r="R70" s="7"/>
      <c r="S70" s="7" t="str">
        <f t="shared" ca="1" si="4"/>
        <v>Ongoing</v>
      </c>
      <c r="T70" s="7" t="str">
        <f t="shared" si="5"/>
        <v/>
      </c>
    </row>
    <row r="71" spans="1:20" x14ac:dyDescent="0.25">
      <c r="A71" s="4">
        <v>69</v>
      </c>
      <c r="B71" s="23" t="s">
        <v>159</v>
      </c>
      <c r="C71" s="4">
        <v>4</v>
      </c>
      <c r="D71" s="23" t="s">
        <v>311</v>
      </c>
      <c r="E71" s="4" t="s">
        <v>116</v>
      </c>
      <c r="F71" s="4" t="s">
        <v>111</v>
      </c>
      <c r="G71" s="4">
        <v>795</v>
      </c>
      <c r="H71" s="4">
        <v>975</v>
      </c>
      <c r="I71" s="4"/>
      <c r="J71" s="23" t="s">
        <v>50</v>
      </c>
      <c r="K71" s="23" t="s">
        <v>88</v>
      </c>
      <c r="L71" s="23" t="s">
        <v>180</v>
      </c>
      <c r="M71" s="4" t="s">
        <v>18</v>
      </c>
      <c r="N71" s="4"/>
      <c r="O71" s="23" t="s">
        <v>301</v>
      </c>
      <c r="P71" s="28">
        <v>46216</v>
      </c>
      <c r="Q71" s="28">
        <v>46328</v>
      </c>
      <c r="R71" s="4"/>
      <c r="S71" s="4" t="str">
        <f t="shared" ca="1" si="4"/>
        <v>Ongoing</v>
      </c>
      <c r="T71" s="4" t="str">
        <f t="shared" si="5"/>
        <v/>
      </c>
    </row>
    <row r="72" spans="1:20" x14ac:dyDescent="0.25">
      <c r="A72" s="7">
        <v>70</v>
      </c>
      <c r="B72" s="29" t="s">
        <v>159</v>
      </c>
      <c r="C72" s="7">
        <v>4</v>
      </c>
      <c r="D72" s="29" t="s">
        <v>311</v>
      </c>
      <c r="E72" s="7" t="s">
        <v>116</v>
      </c>
      <c r="F72" s="7" t="s">
        <v>111</v>
      </c>
      <c r="G72" s="7">
        <v>795</v>
      </c>
      <c r="H72" s="7">
        <v>975</v>
      </c>
      <c r="I72" s="7"/>
      <c r="J72" s="29" t="s">
        <v>51</v>
      </c>
      <c r="K72" s="29" t="s">
        <v>88</v>
      </c>
      <c r="L72" s="29" t="s">
        <v>181</v>
      </c>
      <c r="M72" s="7" t="s">
        <v>18</v>
      </c>
      <c r="N72" s="7"/>
      <c r="O72" s="29" t="s">
        <v>303</v>
      </c>
      <c r="P72" s="30">
        <v>46139</v>
      </c>
      <c r="Q72" s="30">
        <v>46314</v>
      </c>
      <c r="R72" s="7"/>
      <c r="S72" s="7" t="str">
        <f t="shared" ca="1" si="4"/>
        <v>Ongoing</v>
      </c>
      <c r="T72" s="7" t="str">
        <f t="shared" si="5"/>
        <v/>
      </c>
    </row>
    <row r="73" spans="1:20" x14ac:dyDescent="0.25">
      <c r="A73" s="4">
        <v>71</v>
      </c>
      <c r="B73" s="23" t="s">
        <v>159</v>
      </c>
      <c r="C73" s="4">
        <v>4</v>
      </c>
      <c r="D73" s="23" t="s">
        <v>311</v>
      </c>
      <c r="E73" s="4" t="s">
        <v>116</v>
      </c>
      <c r="F73" s="4" t="s">
        <v>111</v>
      </c>
      <c r="G73" s="4">
        <v>795</v>
      </c>
      <c r="H73" s="4">
        <v>975</v>
      </c>
      <c r="I73" s="4"/>
      <c r="J73" s="23" t="s">
        <v>44</v>
      </c>
      <c r="K73" s="23" t="s">
        <v>88</v>
      </c>
      <c r="L73" s="23" t="s">
        <v>177</v>
      </c>
      <c r="M73" s="4" t="s">
        <v>18</v>
      </c>
      <c r="N73" s="4"/>
      <c r="O73" s="23" t="s">
        <v>306</v>
      </c>
      <c r="P73" s="28">
        <v>46191</v>
      </c>
      <c r="Q73" s="28">
        <v>46323</v>
      </c>
      <c r="R73" s="4"/>
      <c r="S73" s="4" t="str">
        <f t="shared" ca="1" si="4"/>
        <v>Ongoing</v>
      </c>
      <c r="T73" s="4" t="str">
        <f t="shared" si="5"/>
        <v/>
      </c>
    </row>
    <row r="74" spans="1:20" x14ac:dyDescent="0.25">
      <c r="A74" s="7">
        <v>72</v>
      </c>
      <c r="B74" s="29" t="s">
        <v>159</v>
      </c>
      <c r="C74" s="7">
        <v>4</v>
      </c>
      <c r="D74" s="29" t="s">
        <v>311</v>
      </c>
      <c r="E74" s="7" t="s">
        <v>116</v>
      </c>
      <c r="F74" s="7" t="s">
        <v>111</v>
      </c>
      <c r="G74" s="7">
        <v>795</v>
      </c>
      <c r="H74" s="7">
        <v>975</v>
      </c>
      <c r="I74" s="7"/>
      <c r="J74" s="29" t="s">
        <v>46</v>
      </c>
      <c r="K74" s="29" t="s">
        <v>88</v>
      </c>
      <c r="L74" s="29" t="s">
        <v>178</v>
      </c>
      <c r="M74" s="7" t="s">
        <v>18</v>
      </c>
      <c r="N74" s="7"/>
      <c r="O74" s="29" t="s">
        <v>298</v>
      </c>
      <c r="P74" s="30">
        <v>46216</v>
      </c>
      <c r="Q74" s="30">
        <v>46370</v>
      </c>
      <c r="R74" s="7"/>
      <c r="S74" s="7" t="str">
        <f t="shared" ca="1" si="4"/>
        <v>Ongoing</v>
      </c>
      <c r="T74" s="7" t="str">
        <f t="shared" si="5"/>
        <v/>
      </c>
    </row>
    <row r="75" spans="1:20" x14ac:dyDescent="0.25">
      <c r="A75" s="4">
        <v>73</v>
      </c>
      <c r="B75" s="23" t="s">
        <v>159</v>
      </c>
      <c r="C75" s="4">
        <v>4</v>
      </c>
      <c r="D75" s="23" t="s">
        <v>311</v>
      </c>
      <c r="E75" s="4" t="s">
        <v>116</v>
      </c>
      <c r="F75" s="4" t="s">
        <v>111</v>
      </c>
      <c r="G75" s="4">
        <v>795</v>
      </c>
      <c r="H75" s="4">
        <v>975</v>
      </c>
      <c r="I75" s="4"/>
      <c r="J75" s="23" t="s">
        <v>47</v>
      </c>
      <c r="K75" s="23" t="s">
        <v>88</v>
      </c>
      <c r="L75" s="23" t="s">
        <v>179</v>
      </c>
      <c r="M75" s="4" t="s">
        <v>18</v>
      </c>
      <c r="N75" s="4"/>
      <c r="O75" s="23" t="s">
        <v>306</v>
      </c>
      <c r="P75" s="28">
        <v>46191</v>
      </c>
      <c r="Q75" s="28">
        <v>46323</v>
      </c>
      <c r="R75" s="4"/>
      <c r="S75" s="4" t="str">
        <f t="shared" ca="1" si="4"/>
        <v>Ongoing</v>
      </c>
      <c r="T75" s="4" t="str">
        <f t="shared" si="5"/>
        <v/>
      </c>
    </row>
    <row r="76" spans="1:20" x14ac:dyDescent="0.25">
      <c r="A76" s="7">
        <v>74</v>
      </c>
      <c r="B76" s="29" t="s">
        <v>159</v>
      </c>
      <c r="C76" s="7">
        <v>4</v>
      </c>
      <c r="D76" s="29" t="s">
        <v>311</v>
      </c>
      <c r="E76" s="7" t="s">
        <v>116</v>
      </c>
      <c r="F76" s="7" t="s">
        <v>111</v>
      </c>
      <c r="G76" s="7">
        <v>795</v>
      </c>
      <c r="H76" s="7">
        <v>975</v>
      </c>
      <c r="I76" s="7"/>
      <c r="J76" s="29" t="s">
        <v>36</v>
      </c>
      <c r="K76" s="29" t="s">
        <v>88</v>
      </c>
      <c r="L76" s="29" t="s">
        <v>174</v>
      </c>
      <c r="M76" s="7" t="s">
        <v>18</v>
      </c>
      <c r="N76" s="7"/>
      <c r="O76" s="29" t="s">
        <v>318</v>
      </c>
      <c r="P76" s="30">
        <v>46216</v>
      </c>
      <c r="Q76" s="30">
        <v>46630</v>
      </c>
      <c r="R76" s="7"/>
      <c r="S76" s="7" t="str">
        <f t="shared" ca="1" si="4"/>
        <v>Ongoing</v>
      </c>
      <c r="T76" s="7" t="str">
        <f t="shared" si="5"/>
        <v/>
      </c>
    </row>
    <row r="77" spans="1:20" x14ac:dyDescent="0.25">
      <c r="A77" s="4">
        <v>75</v>
      </c>
      <c r="B77" s="23" t="s">
        <v>159</v>
      </c>
      <c r="C77" s="4">
        <v>4</v>
      </c>
      <c r="D77" s="23" t="s">
        <v>311</v>
      </c>
      <c r="E77" s="4" t="s">
        <v>116</v>
      </c>
      <c r="F77" s="4" t="s">
        <v>111</v>
      </c>
      <c r="G77" s="4">
        <v>795</v>
      </c>
      <c r="H77" s="4">
        <v>975</v>
      </c>
      <c r="I77" s="4"/>
      <c r="J77" s="23" t="s">
        <v>37</v>
      </c>
      <c r="K77" s="23" t="s">
        <v>88</v>
      </c>
      <c r="L77" s="23" t="s">
        <v>175</v>
      </c>
      <c r="M77" s="4" t="s">
        <v>19</v>
      </c>
      <c r="N77" s="4"/>
      <c r="O77" s="23" t="s">
        <v>315</v>
      </c>
      <c r="P77" s="28">
        <v>46153</v>
      </c>
      <c r="Q77" s="28">
        <v>46251</v>
      </c>
      <c r="R77" s="4"/>
      <c r="S77" s="4" t="str">
        <f t="shared" ca="1" si="4"/>
        <v>Completed</v>
      </c>
      <c r="T77" s="4" t="str">
        <f t="shared" si="5"/>
        <v/>
      </c>
    </row>
    <row r="78" spans="1:20" x14ac:dyDescent="0.25">
      <c r="A78" s="7">
        <v>76</v>
      </c>
      <c r="B78" s="29" t="s">
        <v>159</v>
      </c>
      <c r="C78" s="7">
        <v>4</v>
      </c>
      <c r="D78" s="29" t="s">
        <v>311</v>
      </c>
      <c r="E78" s="7" t="s">
        <v>116</v>
      </c>
      <c r="F78" s="7" t="s">
        <v>111</v>
      </c>
      <c r="G78" s="7">
        <v>795</v>
      </c>
      <c r="H78" s="7">
        <v>975</v>
      </c>
      <c r="I78" s="7"/>
      <c r="J78" s="29" t="s">
        <v>38</v>
      </c>
      <c r="K78" s="29" t="s">
        <v>88</v>
      </c>
      <c r="L78" s="29" t="s">
        <v>176</v>
      </c>
      <c r="M78" s="7" t="s">
        <v>19</v>
      </c>
      <c r="N78" s="7"/>
      <c r="O78" s="29" t="s">
        <v>321</v>
      </c>
      <c r="P78" s="30">
        <v>46097</v>
      </c>
      <c r="Q78" s="30">
        <v>46226</v>
      </c>
      <c r="R78" s="7"/>
      <c r="S78" s="7" t="str">
        <f t="shared" ca="1" si="4"/>
        <v>Completed</v>
      </c>
      <c r="T78" s="7" t="str">
        <f t="shared" si="5"/>
        <v/>
      </c>
    </row>
    <row r="79" spans="1:20" x14ac:dyDescent="0.25">
      <c r="A79" s="4">
        <v>77</v>
      </c>
      <c r="B79" s="23" t="s">
        <v>183</v>
      </c>
      <c r="C79" s="4">
        <v>5</v>
      </c>
      <c r="D79" s="23" t="s">
        <v>324</v>
      </c>
      <c r="E79" s="4" t="s">
        <v>99</v>
      </c>
      <c r="F79" s="4" t="s">
        <v>184</v>
      </c>
      <c r="G79" s="4">
        <v>495</v>
      </c>
      <c r="H79" s="4">
        <v>1395</v>
      </c>
      <c r="I79" s="31"/>
      <c r="J79" s="23" t="s">
        <v>53</v>
      </c>
      <c r="K79" s="23" t="s">
        <v>88</v>
      </c>
      <c r="L79" s="23" t="s">
        <v>185</v>
      </c>
      <c r="M79" s="4" t="s">
        <v>18</v>
      </c>
      <c r="N79" s="4"/>
      <c r="O79" s="23" t="s">
        <v>299</v>
      </c>
      <c r="P79" s="28">
        <v>46139</v>
      </c>
      <c r="Q79" s="28">
        <v>46261</v>
      </c>
      <c r="R79" s="4"/>
      <c r="S79" s="4" t="str">
        <f t="shared" ca="1" si="4"/>
        <v>Completed</v>
      </c>
      <c r="T79" s="4" t="str">
        <f t="shared" si="5"/>
        <v/>
      </c>
    </row>
    <row r="80" spans="1:20" x14ac:dyDescent="0.25">
      <c r="A80" s="7">
        <v>78</v>
      </c>
      <c r="B80" s="29" t="s">
        <v>183</v>
      </c>
      <c r="C80" s="7">
        <v>5</v>
      </c>
      <c r="D80" s="29" t="s">
        <v>325</v>
      </c>
      <c r="E80" s="7" t="s">
        <v>103</v>
      </c>
      <c r="F80" s="7" t="s">
        <v>184</v>
      </c>
      <c r="G80" s="7">
        <v>555</v>
      </c>
      <c r="H80" s="7">
        <v>1395</v>
      </c>
      <c r="I80" s="32"/>
      <c r="J80" s="29" t="s">
        <v>51</v>
      </c>
      <c r="K80" s="29" t="s">
        <v>88</v>
      </c>
      <c r="L80" s="29" t="s">
        <v>189</v>
      </c>
      <c r="M80" s="7" t="s">
        <v>18</v>
      </c>
      <c r="N80" s="7"/>
      <c r="O80" s="29" t="s">
        <v>316</v>
      </c>
      <c r="P80" s="30">
        <v>46097</v>
      </c>
      <c r="Q80" s="30">
        <v>46226</v>
      </c>
      <c r="R80" s="7"/>
      <c r="S80" s="7" t="str">
        <f t="shared" ca="1" si="4"/>
        <v>Completed</v>
      </c>
      <c r="T80" s="7" t="str">
        <f t="shared" si="5"/>
        <v>CONFLICT</v>
      </c>
    </row>
    <row r="81" spans="1:20" x14ac:dyDescent="0.25">
      <c r="A81" s="4">
        <v>79</v>
      </c>
      <c r="B81" s="23" t="s">
        <v>183</v>
      </c>
      <c r="C81" s="4">
        <v>5</v>
      </c>
      <c r="D81" s="23" t="s">
        <v>300</v>
      </c>
      <c r="E81" s="4" t="s">
        <v>103</v>
      </c>
      <c r="F81" s="4" t="s">
        <v>104</v>
      </c>
      <c r="G81" s="4">
        <v>555</v>
      </c>
      <c r="H81" s="4">
        <v>735</v>
      </c>
      <c r="I81" s="4"/>
      <c r="J81" s="23" t="s">
        <v>44</v>
      </c>
      <c r="K81" s="23" t="s">
        <v>88</v>
      </c>
      <c r="L81" s="23" t="s">
        <v>187</v>
      </c>
      <c r="M81" s="4" t="s">
        <v>18</v>
      </c>
      <c r="N81" s="4"/>
      <c r="O81" s="23" t="s">
        <v>319</v>
      </c>
      <c r="P81" s="28">
        <v>46216</v>
      </c>
      <c r="Q81" s="28">
        <v>46328</v>
      </c>
      <c r="R81" s="4"/>
      <c r="S81" s="4" t="str">
        <f t="shared" ca="1" si="4"/>
        <v>Ongoing</v>
      </c>
      <c r="T81" s="4" t="str">
        <f t="shared" si="5"/>
        <v/>
      </c>
    </row>
    <row r="82" spans="1:20" x14ac:dyDescent="0.25">
      <c r="A82" s="7">
        <v>80</v>
      </c>
      <c r="B82" s="29" t="s">
        <v>183</v>
      </c>
      <c r="C82" s="7">
        <v>5</v>
      </c>
      <c r="D82" s="29" t="s">
        <v>300</v>
      </c>
      <c r="E82" s="7" t="s">
        <v>103</v>
      </c>
      <c r="F82" s="7" t="s">
        <v>104</v>
      </c>
      <c r="G82" s="7">
        <v>555</v>
      </c>
      <c r="H82" s="7">
        <v>735</v>
      </c>
      <c r="I82" s="7"/>
      <c r="J82" s="29" t="s">
        <v>47</v>
      </c>
      <c r="K82" s="29" t="s">
        <v>88</v>
      </c>
      <c r="L82" s="29" t="s">
        <v>188</v>
      </c>
      <c r="M82" s="7" t="s">
        <v>18</v>
      </c>
      <c r="N82" s="7"/>
      <c r="O82" s="29" t="s">
        <v>326</v>
      </c>
      <c r="P82" s="30">
        <v>46097</v>
      </c>
      <c r="Q82" s="30">
        <v>46226</v>
      </c>
      <c r="R82" s="7"/>
      <c r="S82" s="7" t="str">
        <f t="shared" ca="1" si="4"/>
        <v>Completed</v>
      </c>
      <c r="T82" s="7" t="str">
        <f t="shared" si="5"/>
        <v/>
      </c>
    </row>
    <row r="83" spans="1:20" x14ac:dyDescent="0.25">
      <c r="A83" s="4">
        <v>81</v>
      </c>
      <c r="B83" s="23" t="s">
        <v>183</v>
      </c>
      <c r="C83" s="4">
        <v>5</v>
      </c>
      <c r="D83" s="23" t="s">
        <v>300</v>
      </c>
      <c r="E83" s="4" t="s">
        <v>103</v>
      </c>
      <c r="F83" s="4" t="s">
        <v>104</v>
      </c>
      <c r="G83" s="4">
        <v>555</v>
      </c>
      <c r="H83" s="4">
        <v>735</v>
      </c>
      <c r="I83" s="4"/>
      <c r="J83" s="23" t="s">
        <v>36</v>
      </c>
      <c r="K83" s="23" t="s">
        <v>88</v>
      </c>
      <c r="L83" s="23" t="s">
        <v>186</v>
      </c>
      <c r="M83" s="4" t="s">
        <v>18</v>
      </c>
      <c r="N83" s="4"/>
      <c r="O83" s="23" t="s">
        <v>307</v>
      </c>
      <c r="P83" s="28">
        <v>46216</v>
      </c>
      <c r="Q83" s="28">
        <v>46630</v>
      </c>
      <c r="R83" s="4"/>
      <c r="S83" s="4" t="str">
        <f t="shared" ca="1" si="4"/>
        <v>Ongoing</v>
      </c>
      <c r="T83" s="4" t="str">
        <f t="shared" si="5"/>
        <v/>
      </c>
    </row>
    <row r="84" spans="1:20" x14ac:dyDescent="0.25">
      <c r="A84" s="7">
        <v>82</v>
      </c>
      <c r="B84" s="29" t="s">
        <v>183</v>
      </c>
      <c r="C84" s="7">
        <v>5</v>
      </c>
      <c r="D84" s="29" t="s">
        <v>310</v>
      </c>
      <c r="E84" s="7" t="s">
        <v>104</v>
      </c>
      <c r="F84" s="7" t="s">
        <v>113</v>
      </c>
      <c r="G84" s="7">
        <v>735</v>
      </c>
      <c r="H84" s="7">
        <v>915</v>
      </c>
      <c r="I84" s="7"/>
      <c r="J84" s="29" t="s">
        <v>38</v>
      </c>
      <c r="K84" s="29" t="s">
        <v>88</v>
      </c>
      <c r="L84" s="29" t="s">
        <v>190</v>
      </c>
      <c r="M84" s="7" t="s">
        <v>19</v>
      </c>
      <c r="N84" s="7"/>
      <c r="O84" s="29" t="s">
        <v>323</v>
      </c>
      <c r="P84" s="30">
        <v>46190</v>
      </c>
      <c r="Q84" s="30">
        <v>46286</v>
      </c>
      <c r="R84" s="7"/>
      <c r="S84" s="7" t="str">
        <f t="shared" ca="1" si="4"/>
        <v>Ongoing</v>
      </c>
      <c r="T84" s="7" t="str">
        <f t="shared" si="5"/>
        <v/>
      </c>
    </row>
    <row r="85" spans="1:20" x14ac:dyDescent="0.25">
      <c r="A85" s="4">
        <v>83</v>
      </c>
      <c r="B85" s="23" t="s">
        <v>183</v>
      </c>
      <c r="C85" s="4">
        <v>5</v>
      </c>
      <c r="D85" s="23" t="s">
        <v>311</v>
      </c>
      <c r="E85" s="4" t="s">
        <v>116</v>
      </c>
      <c r="F85" s="4" t="s">
        <v>111</v>
      </c>
      <c r="G85" s="4">
        <v>795</v>
      </c>
      <c r="H85" s="4">
        <v>975</v>
      </c>
      <c r="I85" s="4"/>
      <c r="J85" s="23" t="s">
        <v>52</v>
      </c>
      <c r="K85" s="23" t="s">
        <v>88</v>
      </c>
      <c r="L85" s="23" t="s">
        <v>195</v>
      </c>
      <c r="M85" s="4" t="s">
        <v>18</v>
      </c>
      <c r="N85" s="4"/>
      <c r="O85" s="23" t="s">
        <v>327</v>
      </c>
      <c r="P85" s="28">
        <v>46147</v>
      </c>
      <c r="Q85" s="28">
        <v>46259</v>
      </c>
      <c r="R85" s="4"/>
      <c r="S85" s="4" t="str">
        <f t="shared" ca="1" si="4"/>
        <v>Completed</v>
      </c>
      <c r="T85" s="4" t="str">
        <f t="shared" si="5"/>
        <v/>
      </c>
    </row>
    <row r="86" spans="1:20" x14ac:dyDescent="0.25">
      <c r="A86" s="7">
        <v>84</v>
      </c>
      <c r="B86" s="29" t="s">
        <v>183</v>
      </c>
      <c r="C86" s="7">
        <v>5</v>
      </c>
      <c r="D86" s="29" t="s">
        <v>311</v>
      </c>
      <c r="E86" s="7" t="s">
        <v>116</v>
      </c>
      <c r="F86" s="7" t="s">
        <v>111</v>
      </c>
      <c r="G86" s="7">
        <v>795</v>
      </c>
      <c r="H86" s="7">
        <v>975</v>
      </c>
      <c r="I86" s="7"/>
      <c r="J86" s="29" t="s">
        <v>56</v>
      </c>
      <c r="K86" s="29" t="s">
        <v>88</v>
      </c>
      <c r="L86" s="29" t="s">
        <v>196</v>
      </c>
      <c r="M86" s="7" t="s">
        <v>18</v>
      </c>
      <c r="N86" s="7"/>
      <c r="O86" s="29" t="s">
        <v>299</v>
      </c>
      <c r="P86" s="30">
        <v>46139</v>
      </c>
      <c r="Q86" s="30">
        <v>46261</v>
      </c>
      <c r="R86" s="7"/>
      <c r="S86" s="7" t="str">
        <f t="shared" ca="1" si="4"/>
        <v>Completed</v>
      </c>
      <c r="T86" s="7" t="str">
        <f t="shared" si="5"/>
        <v/>
      </c>
    </row>
    <row r="87" spans="1:20" x14ac:dyDescent="0.25">
      <c r="A87" s="4">
        <v>85</v>
      </c>
      <c r="B87" s="23" t="s">
        <v>183</v>
      </c>
      <c r="C87" s="4">
        <v>5</v>
      </c>
      <c r="D87" s="23" t="s">
        <v>311</v>
      </c>
      <c r="E87" s="4" t="s">
        <v>116</v>
      </c>
      <c r="F87" s="4" t="s">
        <v>111</v>
      </c>
      <c r="G87" s="4">
        <v>795</v>
      </c>
      <c r="H87" s="4">
        <v>975</v>
      </c>
      <c r="I87" s="4"/>
      <c r="J87" s="23" t="s">
        <v>51</v>
      </c>
      <c r="K87" s="23" t="s">
        <v>88</v>
      </c>
      <c r="L87" s="23" t="s">
        <v>194</v>
      </c>
      <c r="M87" s="4" t="s">
        <v>18</v>
      </c>
      <c r="N87" s="4"/>
      <c r="O87" s="23" t="s">
        <v>316</v>
      </c>
      <c r="P87" s="28">
        <v>46097</v>
      </c>
      <c r="Q87" s="28">
        <v>46226</v>
      </c>
      <c r="R87" s="4"/>
      <c r="S87" s="4" t="str">
        <f t="shared" ca="1" si="4"/>
        <v>Completed</v>
      </c>
      <c r="T87" s="4" t="str">
        <f t="shared" si="5"/>
        <v>CONFLICT</v>
      </c>
    </row>
    <row r="88" spans="1:20" x14ac:dyDescent="0.25">
      <c r="A88" s="7">
        <v>86</v>
      </c>
      <c r="B88" s="29" t="s">
        <v>183</v>
      </c>
      <c r="C88" s="7">
        <v>5</v>
      </c>
      <c r="D88" s="29" t="s">
        <v>311</v>
      </c>
      <c r="E88" s="7" t="s">
        <v>116</v>
      </c>
      <c r="F88" s="7" t="s">
        <v>111</v>
      </c>
      <c r="G88" s="7">
        <v>795</v>
      </c>
      <c r="H88" s="7">
        <v>975</v>
      </c>
      <c r="I88" s="7"/>
      <c r="J88" s="29" t="s">
        <v>44</v>
      </c>
      <c r="K88" s="29" t="s">
        <v>88</v>
      </c>
      <c r="L88" s="29" t="s">
        <v>191</v>
      </c>
      <c r="M88" s="7" t="s">
        <v>18</v>
      </c>
      <c r="N88" s="7"/>
      <c r="O88" s="29" t="s">
        <v>319</v>
      </c>
      <c r="P88" s="30">
        <v>46216</v>
      </c>
      <c r="Q88" s="30">
        <v>46328</v>
      </c>
      <c r="R88" s="7"/>
      <c r="S88" s="7" t="str">
        <f t="shared" ca="1" si="4"/>
        <v>Ongoing</v>
      </c>
      <c r="T88" s="7" t="str">
        <f t="shared" si="5"/>
        <v/>
      </c>
    </row>
    <row r="89" spans="1:20" x14ac:dyDescent="0.25">
      <c r="A89" s="4">
        <v>87</v>
      </c>
      <c r="B89" s="23" t="s">
        <v>183</v>
      </c>
      <c r="C89" s="4">
        <v>5</v>
      </c>
      <c r="D89" s="23" t="s">
        <v>311</v>
      </c>
      <c r="E89" s="4" t="s">
        <v>116</v>
      </c>
      <c r="F89" s="4" t="s">
        <v>111</v>
      </c>
      <c r="G89" s="4">
        <v>795</v>
      </c>
      <c r="H89" s="4">
        <v>975</v>
      </c>
      <c r="I89" s="4"/>
      <c r="J89" s="23" t="s">
        <v>45</v>
      </c>
      <c r="K89" s="23" t="s">
        <v>88</v>
      </c>
      <c r="L89" s="23" t="s">
        <v>192</v>
      </c>
      <c r="M89" s="4" t="s">
        <v>18</v>
      </c>
      <c r="N89" s="4"/>
      <c r="O89" s="23" t="s">
        <v>326</v>
      </c>
      <c r="P89" s="28">
        <v>46097</v>
      </c>
      <c r="Q89" s="28">
        <v>46226</v>
      </c>
      <c r="R89" s="4"/>
      <c r="S89" s="4" t="str">
        <f t="shared" ca="1" si="4"/>
        <v>Completed</v>
      </c>
      <c r="T89" s="4" t="str">
        <f t="shared" si="5"/>
        <v/>
      </c>
    </row>
    <row r="90" spans="1:20" x14ac:dyDescent="0.25">
      <c r="A90" s="7">
        <v>88</v>
      </c>
      <c r="B90" s="29" t="s">
        <v>183</v>
      </c>
      <c r="C90" s="7">
        <v>5</v>
      </c>
      <c r="D90" s="29" t="s">
        <v>311</v>
      </c>
      <c r="E90" s="7" t="s">
        <v>116</v>
      </c>
      <c r="F90" s="7" t="s">
        <v>111</v>
      </c>
      <c r="G90" s="7">
        <v>795</v>
      </c>
      <c r="H90" s="7">
        <v>975</v>
      </c>
      <c r="I90" s="7"/>
      <c r="J90" s="29" t="s">
        <v>46</v>
      </c>
      <c r="K90" s="29" t="s">
        <v>88</v>
      </c>
      <c r="L90" s="29" t="s">
        <v>193</v>
      </c>
      <c r="M90" s="7" t="s">
        <v>18</v>
      </c>
      <c r="N90" s="7"/>
      <c r="O90" s="29" t="s">
        <v>328</v>
      </c>
      <c r="P90" s="30">
        <v>46097</v>
      </c>
      <c r="Q90" s="30">
        <v>46226</v>
      </c>
      <c r="R90" s="7"/>
      <c r="S90" s="7" t="str">
        <f t="shared" ca="1" si="4"/>
        <v>Completed</v>
      </c>
      <c r="T90" s="7" t="str">
        <f t="shared" si="5"/>
        <v/>
      </c>
    </row>
    <row r="91" spans="1:20" x14ac:dyDescent="0.25">
      <c r="A91" s="4">
        <v>89</v>
      </c>
      <c r="B91" s="23" t="s">
        <v>197</v>
      </c>
      <c r="C91" s="4">
        <v>6</v>
      </c>
      <c r="D91" s="23" t="s">
        <v>329</v>
      </c>
      <c r="E91" s="4" t="s">
        <v>209</v>
      </c>
      <c r="F91" s="4" t="s">
        <v>203</v>
      </c>
      <c r="G91" s="4">
        <v>600</v>
      </c>
      <c r="H91" s="4">
        <v>720</v>
      </c>
      <c r="I91" s="4"/>
      <c r="J91" s="23" t="s">
        <v>52</v>
      </c>
      <c r="K91" s="23" t="s">
        <v>88</v>
      </c>
      <c r="L91" s="23" t="s">
        <v>227</v>
      </c>
      <c r="M91" s="4" t="s">
        <v>18</v>
      </c>
      <c r="N91" s="4"/>
      <c r="O91" s="23" t="s">
        <v>330</v>
      </c>
      <c r="P91" s="28">
        <v>46214</v>
      </c>
      <c r="Q91" s="28">
        <v>46361</v>
      </c>
      <c r="R91" s="4"/>
      <c r="S91" s="4" t="str">
        <f t="shared" ca="1" si="4"/>
        <v>Ongoing</v>
      </c>
      <c r="T91" s="4" t="str">
        <f t="shared" si="5"/>
        <v/>
      </c>
    </row>
    <row r="92" spans="1:20" x14ac:dyDescent="0.25">
      <c r="A92" s="7">
        <v>90</v>
      </c>
      <c r="B92" s="29" t="s">
        <v>197</v>
      </c>
      <c r="C92" s="7">
        <v>6</v>
      </c>
      <c r="D92" s="29" t="s">
        <v>331</v>
      </c>
      <c r="E92" s="7" t="s">
        <v>198</v>
      </c>
      <c r="F92" s="7" t="s">
        <v>203</v>
      </c>
      <c r="G92" s="7">
        <v>480</v>
      </c>
      <c r="H92" s="7">
        <v>720</v>
      </c>
      <c r="I92" s="7"/>
      <c r="J92" s="29" t="s">
        <v>53</v>
      </c>
      <c r="K92" s="29" t="s">
        <v>88</v>
      </c>
      <c r="L92" s="29" t="s">
        <v>217</v>
      </c>
      <c r="M92" s="7" t="s">
        <v>19</v>
      </c>
      <c r="N92" s="7"/>
      <c r="O92" s="29"/>
      <c r="P92" s="30"/>
      <c r="Q92" s="30"/>
      <c r="R92" s="32" t="s">
        <v>332</v>
      </c>
      <c r="S92" s="7" t="str">
        <f t="shared" ca="1" si="4"/>
        <v>Unknown (missing duration data)</v>
      </c>
      <c r="T92" s="7" t="str">
        <f t="shared" si="5"/>
        <v/>
      </c>
    </row>
    <row r="93" spans="1:20" x14ac:dyDescent="0.25">
      <c r="A93" s="4">
        <v>91</v>
      </c>
      <c r="B93" s="23" t="s">
        <v>197</v>
      </c>
      <c r="C93" s="4">
        <v>6</v>
      </c>
      <c r="D93" s="23" t="s">
        <v>331</v>
      </c>
      <c r="E93" s="4" t="s">
        <v>198</v>
      </c>
      <c r="F93" s="4" t="s">
        <v>203</v>
      </c>
      <c r="G93" s="4">
        <v>480</v>
      </c>
      <c r="H93" s="4">
        <v>720</v>
      </c>
      <c r="I93" s="4"/>
      <c r="J93" s="23" t="s">
        <v>54</v>
      </c>
      <c r="K93" s="23" t="s">
        <v>88</v>
      </c>
      <c r="L93" s="23" t="s">
        <v>218</v>
      </c>
      <c r="M93" s="4" t="s">
        <v>18</v>
      </c>
      <c r="N93" s="4"/>
      <c r="O93" s="23" t="s">
        <v>333</v>
      </c>
      <c r="P93" s="28">
        <v>46214</v>
      </c>
      <c r="Q93" s="28">
        <v>46337</v>
      </c>
      <c r="R93" s="4"/>
      <c r="S93" s="4" t="str">
        <f t="shared" ca="1" si="4"/>
        <v>Ongoing</v>
      </c>
      <c r="T93" s="4" t="str">
        <f t="shared" si="5"/>
        <v/>
      </c>
    </row>
    <row r="94" spans="1:20" x14ac:dyDescent="0.25">
      <c r="A94" s="7">
        <v>92</v>
      </c>
      <c r="B94" s="29" t="s">
        <v>197</v>
      </c>
      <c r="C94" s="7">
        <v>6</v>
      </c>
      <c r="D94" s="29" t="s">
        <v>334</v>
      </c>
      <c r="E94" s="7" t="s">
        <v>198</v>
      </c>
      <c r="F94" s="7" t="s">
        <v>209</v>
      </c>
      <c r="G94" s="7">
        <v>480</v>
      </c>
      <c r="H94" s="7">
        <v>600</v>
      </c>
      <c r="I94" s="7"/>
      <c r="J94" s="29" t="s">
        <v>55</v>
      </c>
      <c r="K94" s="29" t="s">
        <v>88</v>
      </c>
      <c r="L94" s="29" t="s">
        <v>219</v>
      </c>
      <c r="M94" s="7" t="s">
        <v>18</v>
      </c>
      <c r="N94" s="7"/>
      <c r="O94" s="29" t="s">
        <v>335</v>
      </c>
      <c r="P94" s="30">
        <v>46193</v>
      </c>
      <c r="Q94" s="30">
        <v>46376</v>
      </c>
      <c r="R94" s="7"/>
      <c r="S94" s="7" t="str">
        <f t="shared" ca="1" si="4"/>
        <v>Ongoing</v>
      </c>
      <c r="T94" s="7" t="str">
        <f t="shared" si="5"/>
        <v/>
      </c>
    </row>
    <row r="95" spans="1:20" x14ac:dyDescent="0.25">
      <c r="A95" s="4">
        <v>93</v>
      </c>
      <c r="B95" s="23" t="s">
        <v>197</v>
      </c>
      <c r="C95" s="4">
        <v>6</v>
      </c>
      <c r="D95" s="23" t="s">
        <v>329</v>
      </c>
      <c r="E95" s="4" t="s">
        <v>209</v>
      </c>
      <c r="F95" s="4" t="s">
        <v>203</v>
      </c>
      <c r="G95" s="4">
        <v>600</v>
      </c>
      <c r="H95" s="4">
        <v>720</v>
      </c>
      <c r="I95" s="4"/>
      <c r="J95" s="23" t="s">
        <v>55</v>
      </c>
      <c r="K95" s="23" t="s">
        <v>88</v>
      </c>
      <c r="L95" s="23" t="s">
        <v>228</v>
      </c>
      <c r="M95" s="4" t="s">
        <v>20</v>
      </c>
      <c r="N95" s="4"/>
      <c r="O95" s="23" t="s">
        <v>336</v>
      </c>
      <c r="P95" s="28">
        <v>46214</v>
      </c>
      <c r="Q95" s="28">
        <v>46326</v>
      </c>
      <c r="R95" s="4"/>
      <c r="S95" s="4" t="str">
        <f t="shared" ca="1" si="4"/>
        <v>Ongoing</v>
      </c>
      <c r="T95" s="4" t="str">
        <f t="shared" si="5"/>
        <v/>
      </c>
    </row>
    <row r="96" spans="1:20" x14ac:dyDescent="0.25">
      <c r="A96" s="7">
        <v>94</v>
      </c>
      <c r="B96" s="29" t="s">
        <v>197</v>
      </c>
      <c r="C96" s="7">
        <v>6</v>
      </c>
      <c r="D96" s="29" t="s">
        <v>331</v>
      </c>
      <c r="E96" s="7" t="s">
        <v>198</v>
      </c>
      <c r="F96" s="7" t="s">
        <v>203</v>
      </c>
      <c r="G96" s="7">
        <v>480</v>
      </c>
      <c r="H96" s="7">
        <v>720</v>
      </c>
      <c r="I96" s="7"/>
      <c r="J96" s="29" t="s">
        <v>56</v>
      </c>
      <c r="K96" s="29" t="s">
        <v>88</v>
      </c>
      <c r="L96" s="29" t="s">
        <v>220</v>
      </c>
      <c r="M96" s="7" t="s">
        <v>18</v>
      </c>
      <c r="N96" s="7"/>
      <c r="O96" s="29" t="s">
        <v>337</v>
      </c>
      <c r="P96" s="30">
        <v>46117</v>
      </c>
      <c r="Q96" s="30">
        <v>46250</v>
      </c>
      <c r="R96" s="7"/>
      <c r="S96" s="7" t="str">
        <f t="shared" ca="1" si="4"/>
        <v>Completed</v>
      </c>
      <c r="T96" s="7" t="str">
        <f t="shared" si="5"/>
        <v/>
      </c>
    </row>
    <row r="97" spans="1:20" x14ac:dyDescent="0.25">
      <c r="A97" s="4">
        <v>95</v>
      </c>
      <c r="B97" s="23" t="s">
        <v>197</v>
      </c>
      <c r="C97" s="4">
        <v>6</v>
      </c>
      <c r="D97" s="23" t="s">
        <v>338</v>
      </c>
      <c r="E97" s="4" t="s">
        <v>198</v>
      </c>
      <c r="F97" s="4" t="s">
        <v>201</v>
      </c>
      <c r="G97" s="4">
        <v>480</v>
      </c>
      <c r="H97" s="4">
        <v>900</v>
      </c>
      <c r="I97" s="4"/>
      <c r="J97" s="23" t="s">
        <v>57</v>
      </c>
      <c r="K97" s="23" t="s">
        <v>88</v>
      </c>
      <c r="L97" s="23" t="s">
        <v>221</v>
      </c>
      <c r="M97" s="4" t="s">
        <v>19</v>
      </c>
      <c r="N97" s="4"/>
      <c r="O97" s="23" t="s">
        <v>339</v>
      </c>
      <c r="P97" s="28">
        <v>46151</v>
      </c>
      <c r="Q97" s="28">
        <v>46326</v>
      </c>
      <c r="R97" s="4"/>
      <c r="S97" s="4" t="str">
        <f t="shared" ca="1" si="4"/>
        <v>Ongoing</v>
      </c>
      <c r="T97" s="4" t="str">
        <f t="shared" si="5"/>
        <v/>
      </c>
    </row>
    <row r="98" spans="1:20" x14ac:dyDescent="0.25">
      <c r="A98" s="7">
        <v>96</v>
      </c>
      <c r="B98" s="29" t="s">
        <v>197</v>
      </c>
      <c r="C98" s="7">
        <v>6</v>
      </c>
      <c r="D98" s="29" t="s">
        <v>331</v>
      </c>
      <c r="E98" s="7" t="s">
        <v>198</v>
      </c>
      <c r="F98" s="7" t="s">
        <v>203</v>
      </c>
      <c r="G98" s="7">
        <v>480</v>
      </c>
      <c r="H98" s="7">
        <v>720</v>
      </c>
      <c r="I98" s="7"/>
      <c r="J98" s="29" t="s">
        <v>58</v>
      </c>
      <c r="K98" s="29" t="s">
        <v>88</v>
      </c>
      <c r="L98" s="29" t="s">
        <v>222</v>
      </c>
      <c r="M98" s="7" t="s">
        <v>18</v>
      </c>
      <c r="N98" s="7"/>
      <c r="O98" s="29"/>
      <c r="P98" s="30"/>
      <c r="Q98" s="30"/>
      <c r="R98" s="32" t="s">
        <v>332</v>
      </c>
      <c r="S98" s="7" t="str">
        <f t="shared" ca="1" si="4"/>
        <v>Unknown (missing duration data)</v>
      </c>
      <c r="T98" s="7" t="str">
        <f t="shared" si="5"/>
        <v/>
      </c>
    </row>
    <row r="99" spans="1:20" x14ac:dyDescent="0.25">
      <c r="A99" s="4">
        <v>97</v>
      </c>
      <c r="B99" s="23" t="s">
        <v>197</v>
      </c>
      <c r="C99" s="4">
        <v>6</v>
      </c>
      <c r="D99" s="23" t="s">
        <v>340</v>
      </c>
      <c r="E99" s="4" t="s">
        <v>198</v>
      </c>
      <c r="F99" s="4" t="s">
        <v>199</v>
      </c>
      <c r="G99" s="4">
        <v>480</v>
      </c>
      <c r="H99" s="4">
        <v>1020</v>
      </c>
      <c r="I99" s="4"/>
      <c r="J99" s="23" t="s">
        <v>59</v>
      </c>
      <c r="K99" s="23" t="s">
        <v>88</v>
      </c>
      <c r="L99" s="23" t="s">
        <v>223</v>
      </c>
      <c r="M99" s="4" t="s">
        <v>18</v>
      </c>
      <c r="N99" s="4"/>
      <c r="O99" s="23"/>
      <c r="P99" s="28"/>
      <c r="Q99" s="28"/>
      <c r="R99" s="31" t="s">
        <v>332</v>
      </c>
      <c r="S99" s="4" t="str">
        <f t="shared" ref="S99:S130" ca="1" si="6">IF(OR(P99="",Q99=""),"Unknown (missing duration data)",IF(TODAY()&gt;Q99,"Completed",IF(TODAY()&lt;P99,"Upcoming","Ongoing")))</f>
        <v>Unknown (missing duration data)</v>
      </c>
      <c r="T99" s="4" t="str">
        <f t="shared" ref="T99:T130" si="7">IF(SUMPRODUCT(($J$3:$J$165=J99)*($B$3:$B$165=B99)*($A$3:$A$165&lt;&gt;A99)*($G$3:$G$165&lt;H99)*($H$3:$H$165&gt;G99))&gt;0,"CONFLICT","")</f>
        <v/>
      </c>
    </row>
    <row r="100" spans="1:20" x14ac:dyDescent="0.25">
      <c r="A100" s="7">
        <v>98</v>
      </c>
      <c r="B100" s="29" t="s">
        <v>197</v>
      </c>
      <c r="C100" s="7">
        <v>6</v>
      </c>
      <c r="D100" s="29" t="s">
        <v>331</v>
      </c>
      <c r="E100" s="7" t="s">
        <v>198</v>
      </c>
      <c r="F100" s="7" t="s">
        <v>203</v>
      </c>
      <c r="G100" s="7">
        <v>480</v>
      </c>
      <c r="H100" s="7">
        <v>720</v>
      </c>
      <c r="I100" s="7"/>
      <c r="J100" s="29" t="s">
        <v>48</v>
      </c>
      <c r="K100" s="29" t="s">
        <v>88</v>
      </c>
      <c r="L100" s="29" t="s">
        <v>213</v>
      </c>
      <c r="M100" s="7" t="s">
        <v>18</v>
      </c>
      <c r="N100" s="7"/>
      <c r="O100" s="29"/>
      <c r="P100" s="30"/>
      <c r="Q100" s="30"/>
      <c r="R100" s="32" t="s">
        <v>332</v>
      </c>
      <c r="S100" s="7" t="str">
        <f t="shared" ca="1" si="6"/>
        <v>Unknown (missing duration data)</v>
      </c>
      <c r="T100" s="7" t="str">
        <f t="shared" si="7"/>
        <v/>
      </c>
    </row>
    <row r="101" spans="1:20" x14ac:dyDescent="0.25">
      <c r="A101" s="4">
        <v>99</v>
      </c>
      <c r="B101" s="23" t="s">
        <v>197</v>
      </c>
      <c r="C101" s="4">
        <v>6</v>
      </c>
      <c r="D101" s="23" t="s">
        <v>334</v>
      </c>
      <c r="E101" s="4" t="s">
        <v>198</v>
      </c>
      <c r="F101" s="4" t="s">
        <v>209</v>
      </c>
      <c r="G101" s="4">
        <v>480</v>
      </c>
      <c r="H101" s="4">
        <v>600</v>
      </c>
      <c r="I101" s="4"/>
      <c r="J101" s="23" t="s">
        <v>49</v>
      </c>
      <c r="K101" s="23" t="s">
        <v>88</v>
      </c>
      <c r="L101" s="23" t="s">
        <v>214</v>
      </c>
      <c r="M101" s="4" t="s">
        <v>18</v>
      </c>
      <c r="N101" s="4"/>
      <c r="O101" s="23" t="s">
        <v>330</v>
      </c>
      <c r="P101" s="28">
        <v>46214</v>
      </c>
      <c r="Q101" s="28">
        <v>46361</v>
      </c>
      <c r="R101" s="4"/>
      <c r="S101" s="4" t="str">
        <f t="shared" ca="1" si="6"/>
        <v>Ongoing</v>
      </c>
      <c r="T101" s="4" t="str">
        <f t="shared" si="7"/>
        <v/>
      </c>
    </row>
    <row r="102" spans="1:20" x14ac:dyDescent="0.25">
      <c r="A102" s="7">
        <v>100</v>
      </c>
      <c r="B102" s="29" t="s">
        <v>197</v>
      </c>
      <c r="C102" s="7">
        <v>6</v>
      </c>
      <c r="D102" s="29" t="s">
        <v>334</v>
      </c>
      <c r="E102" s="7" t="s">
        <v>198</v>
      </c>
      <c r="F102" s="7" t="s">
        <v>209</v>
      </c>
      <c r="G102" s="7">
        <v>480</v>
      </c>
      <c r="H102" s="7">
        <v>600</v>
      </c>
      <c r="I102" s="7"/>
      <c r="J102" s="29" t="s">
        <v>50</v>
      </c>
      <c r="K102" s="29" t="s">
        <v>88</v>
      </c>
      <c r="L102" s="29" t="s">
        <v>215</v>
      </c>
      <c r="M102" s="7" t="s">
        <v>18</v>
      </c>
      <c r="N102" s="7"/>
      <c r="O102" s="29" t="s">
        <v>335</v>
      </c>
      <c r="P102" s="30">
        <v>46193</v>
      </c>
      <c r="Q102" s="30">
        <v>46376</v>
      </c>
      <c r="R102" s="7"/>
      <c r="S102" s="7" t="str">
        <f t="shared" ca="1" si="6"/>
        <v>Ongoing</v>
      </c>
      <c r="T102" s="7" t="str">
        <f t="shared" si="7"/>
        <v/>
      </c>
    </row>
    <row r="103" spans="1:20" x14ac:dyDescent="0.25">
      <c r="A103" s="4">
        <v>101</v>
      </c>
      <c r="B103" s="23" t="s">
        <v>197</v>
      </c>
      <c r="C103" s="4">
        <v>6</v>
      </c>
      <c r="D103" s="23" t="s">
        <v>340</v>
      </c>
      <c r="E103" s="4" t="s">
        <v>198</v>
      </c>
      <c r="F103" s="4" t="s">
        <v>199</v>
      </c>
      <c r="G103" s="4">
        <v>480</v>
      </c>
      <c r="H103" s="4">
        <v>1020</v>
      </c>
      <c r="I103" s="4"/>
      <c r="J103" s="23" t="s">
        <v>51</v>
      </c>
      <c r="K103" s="23" t="s">
        <v>88</v>
      </c>
      <c r="L103" s="23" t="s">
        <v>216</v>
      </c>
      <c r="M103" s="4" t="s">
        <v>18</v>
      </c>
      <c r="N103" s="4"/>
      <c r="O103" s="23" t="s">
        <v>330</v>
      </c>
      <c r="P103" s="28">
        <v>46214</v>
      </c>
      <c r="Q103" s="28">
        <v>46361</v>
      </c>
      <c r="R103" s="4"/>
      <c r="S103" s="4" t="str">
        <f t="shared" ca="1" si="6"/>
        <v>Ongoing</v>
      </c>
      <c r="T103" s="4" t="str">
        <f t="shared" si="7"/>
        <v/>
      </c>
    </row>
    <row r="104" spans="1:20" x14ac:dyDescent="0.25">
      <c r="A104" s="7">
        <v>102</v>
      </c>
      <c r="B104" s="29" t="s">
        <v>197</v>
      </c>
      <c r="C104" s="7">
        <v>6</v>
      </c>
      <c r="D104" s="29" t="s">
        <v>331</v>
      </c>
      <c r="E104" s="7" t="s">
        <v>198</v>
      </c>
      <c r="F104" s="7" t="s">
        <v>203</v>
      </c>
      <c r="G104" s="7">
        <v>480</v>
      </c>
      <c r="H104" s="7">
        <v>720</v>
      </c>
      <c r="I104" s="7"/>
      <c r="J104" s="29" t="s">
        <v>44</v>
      </c>
      <c r="K104" s="29" t="s">
        <v>88</v>
      </c>
      <c r="L104" s="29" t="s">
        <v>208</v>
      </c>
      <c r="M104" s="7" t="s">
        <v>18</v>
      </c>
      <c r="N104" s="7"/>
      <c r="O104" s="29" t="s">
        <v>341</v>
      </c>
      <c r="P104" s="30">
        <v>45964</v>
      </c>
      <c r="Q104" s="30">
        <v>46329</v>
      </c>
      <c r="R104" s="7"/>
      <c r="S104" s="7" t="str">
        <f t="shared" ca="1" si="6"/>
        <v>Ongoing</v>
      </c>
      <c r="T104" s="7" t="str">
        <f t="shared" si="7"/>
        <v/>
      </c>
    </row>
    <row r="105" spans="1:20" x14ac:dyDescent="0.25">
      <c r="A105" s="4">
        <v>103</v>
      </c>
      <c r="B105" s="23" t="s">
        <v>197</v>
      </c>
      <c r="C105" s="4">
        <v>6</v>
      </c>
      <c r="D105" s="23" t="s">
        <v>334</v>
      </c>
      <c r="E105" s="4" t="s">
        <v>198</v>
      </c>
      <c r="F105" s="4" t="s">
        <v>209</v>
      </c>
      <c r="G105" s="4">
        <v>480</v>
      </c>
      <c r="H105" s="4">
        <v>600</v>
      </c>
      <c r="I105" s="4"/>
      <c r="J105" s="23" t="s">
        <v>45</v>
      </c>
      <c r="K105" s="23" t="s">
        <v>88</v>
      </c>
      <c r="L105" s="23" t="s">
        <v>210</v>
      </c>
      <c r="M105" s="4" t="s">
        <v>20</v>
      </c>
      <c r="N105" s="4"/>
      <c r="O105" s="23" t="s">
        <v>336</v>
      </c>
      <c r="P105" s="28">
        <v>46214</v>
      </c>
      <c r="Q105" s="28">
        <v>46326</v>
      </c>
      <c r="R105" s="4"/>
      <c r="S105" s="4" t="str">
        <f t="shared" ca="1" si="6"/>
        <v>Ongoing</v>
      </c>
      <c r="T105" s="4" t="str">
        <f t="shared" si="7"/>
        <v/>
      </c>
    </row>
    <row r="106" spans="1:20" x14ac:dyDescent="0.25">
      <c r="A106" s="7">
        <v>104</v>
      </c>
      <c r="B106" s="29" t="s">
        <v>197</v>
      </c>
      <c r="C106" s="7">
        <v>6</v>
      </c>
      <c r="D106" s="29" t="s">
        <v>334</v>
      </c>
      <c r="E106" s="7" t="s">
        <v>198</v>
      </c>
      <c r="F106" s="7" t="s">
        <v>209</v>
      </c>
      <c r="G106" s="7">
        <v>480</v>
      </c>
      <c r="H106" s="7">
        <v>600</v>
      </c>
      <c r="I106" s="7"/>
      <c r="J106" s="29" t="s">
        <v>46</v>
      </c>
      <c r="K106" s="29" t="s">
        <v>88</v>
      </c>
      <c r="L106" s="29" t="s">
        <v>211</v>
      </c>
      <c r="M106" s="7" t="s">
        <v>19</v>
      </c>
      <c r="N106" s="7"/>
      <c r="O106" s="29" t="s">
        <v>342</v>
      </c>
      <c r="P106" s="30">
        <v>46179</v>
      </c>
      <c r="Q106" s="30">
        <v>46278</v>
      </c>
      <c r="R106" s="7"/>
      <c r="S106" s="7" t="str">
        <f t="shared" ca="1" si="6"/>
        <v>Ongoing</v>
      </c>
      <c r="T106" s="7" t="str">
        <f t="shared" si="7"/>
        <v/>
      </c>
    </row>
    <row r="107" spans="1:20" x14ac:dyDescent="0.25">
      <c r="A107" s="4">
        <v>105</v>
      </c>
      <c r="B107" s="23" t="s">
        <v>197</v>
      </c>
      <c r="C107" s="4">
        <v>6</v>
      </c>
      <c r="D107" s="23" t="s">
        <v>329</v>
      </c>
      <c r="E107" s="4" t="s">
        <v>209</v>
      </c>
      <c r="F107" s="4" t="s">
        <v>203</v>
      </c>
      <c r="G107" s="4">
        <v>600</v>
      </c>
      <c r="H107" s="4">
        <v>720</v>
      </c>
      <c r="I107" s="4"/>
      <c r="J107" s="23" t="s">
        <v>46</v>
      </c>
      <c r="K107" s="23" t="s">
        <v>88</v>
      </c>
      <c r="L107" s="23" t="s">
        <v>226</v>
      </c>
      <c r="M107" s="4" t="s">
        <v>18</v>
      </c>
      <c r="N107" s="4"/>
      <c r="O107" s="23" t="s">
        <v>335</v>
      </c>
      <c r="P107" s="28">
        <v>46193</v>
      </c>
      <c r="Q107" s="28">
        <v>46376</v>
      </c>
      <c r="R107" s="4"/>
      <c r="S107" s="4" t="str">
        <f t="shared" ca="1" si="6"/>
        <v>Ongoing</v>
      </c>
      <c r="T107" s="4" t="str">
        <f t="shared" si="7"/>
        <v/>
      </c>
    </row>
    <row r="108" spans="1:20" x14ac:dyDescent="0.25">
      <c r="A108" s="7">
        <v>106</v>
      </c>
      <c r="B108" s="29" t="s">
        <v>197</v>
      </c>
      <c r="C108" s="7">
        <v>6</v>
      </c>
      <c r="D108" s="29" t="s">
        <v>340</v>
      </c>
      <c r="E108" s="7" t="s">
        <v>198</v>
      </c>
      <c r="F108" s="7" t="s">
        <v>199</v>
      </c>
      <c r="G108" s="7">
        <v>480</v>
      </c>
      <c r="H108" s="7">
        <v>1020</v>
      </c>
      <c r="I108" s="7"/>
      <c r="J108" s="29" t="s">
        <v>47</v>
      </c>
      <c r="K108" s="29" t="s">
        <v>88</v>
      </c>
      <c r="L108" s="29" t="s">
        <v>212</v>
      </c>
      <c r="M108" s="7" t="s">
        <v>18</v>
      </c>
      <c r="N108" s="7"/>
      <c r="O108" s="29" t="s">
        <v>343</v>
      </c>
      <c r="P108" s="30">
        <v>46214</v>
      </c>
      <c r="Q108" s="30">
        <v>46375</v>
      </c>
      <c r="R108" s="7"/>
      <c r="S108" s="7" t="str">
        <f t="shared" ca="1" si="6"/>
        <v>Ongoing</v>
      </c>
      <c r="T108" s="7" t="str">
        <f t="shared" si="7"/>
        <v/>
      </c>
    </row>
    <row r="109" spans="1:20" x14ac:dyDescent="0.25">
      <c r="A109" s="4">
        <v>107</v>
      </c>
      <c r="B109" s="23" t="s">
        <v>197</v>
      </c>
      <c r="C109" s="4">
        <v>6</v>
      </c>
      <c r="D109" s="23" t="s">
        <v>340</v>
      </c>
      <c r="E109" s="4" t="s">
        <v>198</v>
      </c>
      <c r="F109" s="4" t="s">
        <v>199</v>
      </c>
      <c r="G109" s="4">
        <v>480</v>
      </c>
      <c r="H109" s="4">
        <v>1020</v>
      </c>
      <c r="I109" s="4"/>
      <c r="J109" s="23" t="s">
        <v>35</v>
      </c>
      <c r="K109" s="23" t="s">
        <v>88</v>
      </c>
      <c r="L109" s="23" t="s">
        <v>200</v>
      </c>
      <c r="M109" s="4" t="s">
        <v>18</v>
      </c>
      <c r="N109" s="4"/>
      <c r="O109" s="23" t="s">
        <v>330</v>
      </c>
      <c r="P109" s="28">
        <v>46214</v>
      </c>
      <c r="Q109" s="28">
        <v>46361</v>
      </c>
      <c r="R109" s="4"/>
      <c r="S109" s="4" t="str">
        <f t="shared" ca="1" si="6"/>
        <v>Ongoing</v>
      </c>
      <c r="T109" s="4" t="str">
        <f t="shared" si="7"/>
        <v/>
      </c>
    </row>
    <row r="110" spans="1:20" x14ac:dyDescent="0.25">
      <c r="A110" s="7">
        <v>108</v>
      </c>
      <c r="B110" s="29" t="s">
        <v>197</v>
      </c>
      <c r="C110" s="7">
        <v>6</v>
      </c>
      <c r="D110" s="29" t="s">
        <v>338</v>
      </c>
      <c r="E110" s="7" t="s">
        <v>198</v>
      </c>
      <c r="F110" s="7" t="s">
        <v>201</v>
      </c>
      <c r="G110" s="7">
        <v>480</v>
      </c>
      <c r="H110" s="7">
        <v>900</v>
      </c>
      <c r="I110" s="7"/>
      <c r="J110" s="29" t="s">
        <v>36</v>
      </c>
      <c r="K110" s="29" t="s">
        <v>88</v>
      </c>
      <c r="L110" s="29" t="s">
        <v>202</v>
      </c>
      <c r="M110" s="7" t="s">
        <v>19</v>
      </c>
      <c r="N110" s="7"/>
      <c r="O110" s="29"/>
      <c r="P110" s="30"/>
      <c r="Q110" s="30"/>
      <c r="R110" s="32" t="s">
        <v>332</v>
      </c>
      <c r="S110" s="7" t="str">
        <f t="shared" ca="1" si="6"/>
        <v>Unknown (missing duration data)</v>
      </c>
      <c r="T110" s="7" t="str">
        <f t="shared" si="7"/>
        <v/>
      </c>
    </row>
    <row r="111" spans="1:20" x14ac:dyDescent="0.25">
      <c r="A111" s="4">
        <v>109</v>
      </c>
      <c r="B111" s="23" t="s">
        <v>197</v>
      </c>
      <c r="C111" s="4">
        <v>6</v>
      </c>
      <c r="D111" s="23" t="s">
        <v>331</v>
      </c>
      <c r="E111" s="4" t="s">
        <v>198</v>
      </c>
      <c r="F111" s="4" t="s">
        <v>203</v>
      </c>
      <c r="G111" s="4">
        <v>480</v>
      </c>
      <c r="H111" s="4">
        <v>720</v>
      </c>
      <c r="I111" s="4"/>
      <c r="J111" s="23" t="s">
        <v>37</v>
      </c>
      <c r="K111" s="23" t="s">
        <v>88</v>
      </c>
      <c r="L111" s="23" t="s">
        <v>204</v>
      </c>
      <c r="M111" s="4" t="s">
        <v>18</v>
      </c>
      <c r="N111" s="4"/>
      <c r="O111" s="23" t="s">
        <v>330</v>
      </c>
      <c r="P111" s="28">
        <v>46214</v>
      </c>
      <c r="Q111" s="28">
        <v>46361</v>
      </c>
      <c r="R111" s="4"/>
      <c r="S111" s="4" t="str">
        <f t="shared" ca="1" si="6"/>
        <v>Ongoing</v>
      </c>
      <c r="T111" s="4" t="str">
        <f t="shared" si="7"/>
        <v/>
      </c>
    </row>
    <row r="112" spans="1:20" x14ac:dyDescent="0.25">
      <c r="A112" s="7">
        <v>110</v>
      </c>
      <c r="B112" s="29" t="s">
        <v>197</v>
      </c>
      <c r="C112" s="7">
        <v>6</v>
      </c>
      <c r="D112" s="29" t="s">
        <v>331</v>
      </c>
      <c r="E112" s="7" t="s">
        <v>198</v>
      </c>
      <c r="F112" s="7" t="s">
        <v>203</v>
      </c>
      <c r="G112" s="7">
        <v>480</v>
      </c>
      <c r="H112" s="7">
        <v>720</v>
      </c>
      <c r="I112" s="7"/>
      <c r="J112" s="29" t="s">
        <v>38</v>
      </c>
      <c r="K112" s="29" t="s">
        <v>88</v>
      </c>
      <c r="L112" s="29" t="s">
        <v>205</v>
      </c>
      <c r="M112" s="7" t="s">
        <v>19</v>
      </c>
      <c r="N112" s="7"/>
      <c r="O112" s="29" t="s">
        <v>330</v>
      </c>
      <c r="P112" s="30">
        <v>46214</v>
      </c>
      <c r="Q112" s="30">
        <v>46361</v>
      </c>
      <c r="R112" s="7"/>
      <c r="S112" s="7" t="str">
        <f t="shared" ca="1" si="6"/>
        <v>Ongoing</v>
      </c>
      <c r="T112" s="7" t="str">
        <f t="shared" si="7"/>
        <v/>
      </c>
    </row>
    <row r="113" spans="1:20" x14ac:dyDescent="0.25">
      <c r="A113" s="4">
        <v>111</v>
      </c>
      <c r="B113" s="23" t="s">
        <v>197</v>
      </c>
      <c r="C113" s="4">
        <v>6</v>
      </c>
      <c r="D113" s="23" t="s">
        <v>331</v>
      </c>
      <c r="E113" s="4" t="s">
        <v>198</v>
      </c>
      <c r="F113" s="4" t="s">
        <v>203</v>
      </c>
      <c r="G113" s="4">
        <v>480</v>
      </c>
      <c r="H113" s="4">
        <v>720</v>
      </c>
      <c r="I113" s="4"/>
      <c r="J113" s="23" t="s">
        <v>42</v>
      </c>
      <c r="K113" s="23" t="s">
        <v>88</v>
      </c>
      <c r="L113" s="23" t="s">
        <v>207</v>
      </c>
      <c r="M113" s="4" t="s">
        <v>20</v>
      </c>
      <c r="N113" s="4"/>
      <c r="O113" s="23" t="s">
        <v>344</v>
      </c>
      <c r="P113" s="28">
        <v>46109</v>
      </c>
      <c r="Q113" s="28">
        <v>46369</v>
      </c>
      <c r="R113" s="4"/>
      <c r="S113" s="4" t="str">
        <f t="shared" ca="1" si="6"/>
        <v>Ongoing</v>
      </c>
      <c r="T113" s="4" t="str">
        <f t="shared" si="7"/>
        <v/>
      </c>
    </row>
    <row r="114" spans="1:20" x14ac:dyDescent="0.25">
      <c r="A114" s="7">
        <v>112</v>
      </c>
      <c r="B114" s="29" t="s">
        <v>197</v>
      </c>
      <c r="C114" s="7">
        <v>6</v>
      </c>
      <c r="D114" s="29" t="s">
        <v>331</v>
      </c>
      <c r="E114" s="7" t="s">
        <v>198</v>
      </c>
      <c r="F114" s="7" t="s">
        <v>203</v>
      </c>
      <c r="G114" s="7">
        <v>480</v>
      </c>
      <c r="H114" s="7">
        <v>720</v>
      </c>
      <c r="I114" s="7"/>
      <c r="J114" s="29" t="s">
        <v>41</v>
      </c>
      <c r="K114" s="29" t="s">
        <v>88</v>
      </c>
      <c r="L114" s="29" t="s">
        <v>206</v>
      </c>
      <c r="M114" s="7" t="s">
        <v>18</v>
      </c>
      <c r="N114" s="7"/>
      <c r="O114" s="29" t="s">
        <v>345</v>
      </c>
      <c r="P114" s="30">
        <v>46186</v>
      </c>
      <c r="Q114" s="30">
        <v>46356</v>
      </c>
      <c r="R114" s="7"/>
      <c r="S114" s="7" t="str">
        <f t="shared" ca="1" si="6"/>
        <v>Ongoing</v>
      </c>
      <c r="T114" s="7" t="str">
        <f t="shared" si="7"/>
        <v/>
      </c>
    </row>
    <row r="115" spans="1:20" x14ac:dyDescent="0.25">
      <c r="A115" s="4">
        <v>113</v>
      </c>
      <c r="B115" s="23" t="s">
        <v>197</v>
      </c>
      <c r="C115" s="4">
        <v>6</v>
      </c>
      <c r="D115" s="23" t="s">
        <v>329</v>
      </c>
      <c r="E115" s="4" t="s">
        <v>209</v>
      </c>
      <c r="F115" s="4" t="s">
        <v>203</v>
      </c>
      <c r="G115" s="4">
        <v>600</v>
      </c>
      <c r="H115" s="4">
        <v>720</v>
      </c>
      <c r="I115" s="4"/>
      <c r="J115" s="23" t="s">
        <v>69</v>
      </c>
      <c r="K115" s="23" t="s">
        <v>92</v>
      </c>
      <c r="L115" s="23" t="s">
        <v>224</v>
      </c>
      <c r="M115" s="4" t="s">
        <v>20</v>
      </c>
      <c r="N115" s="4"/>
      <c r="O115" s="23" t="s">
        <v>330</v>
      </c>
      <c r="P115" s="28">
        <v>46214</v>
      </c>
      <c r="Q115" s="28">
        <v>46361</v>
      </c>
      <c r="R115" s="4"/>
      <c r="S115" s="4" t="str">
        <f t="shared" ca="1" si="6"/>
        <v>Ongoing</v>
      </c>
      <c r="T115" s="4" t="str">
        <f t="shared" si="7"/>
        <v/>
      </c>
    </row>
    <row r="116" spans="1:20" x14ac:dyDescent="0.25">
      <c r="A116" s="7">
        <v>114</v>
      </c>
      <c r="B116" s="29" t="s">
        <v>197</v>
      </c>
      <c r="C116" s="7">
        <v>6</v>
      </c>
      <c r="D116" s="29" t="s">
        <v>329</v>
      </c>
      <c r="E116" s="7" t="s">
        <v>209</v>
      </c>
      <c r="F116" s="7" t="s">
        <v>203</v>
      </c>
      <c r="G116" s="7">
        <v>600</v>
      </c>
      <c r="H116" s="7">
        <v>720</v>
      </c>
      <c r="I116" s="7"/>
      <c r="J116" s="29" t="s">
        <v>40</v>
      </c>
      <c r="K116" s="29" t="s">
        <v>88</v>
      </c>
      <c r="L116" s="29" t="s">
        <v>225</v>
      </c>
      <c r="M116" s="7" t="s">
        <v>20</v>
      </c>
      <c r="N116" s="7"/>
      <c r="O116" s="29"/>
      <c r="P116" s="30"/>
      <c r="Q116" s="30"/>
      <c r="R116" s="32" t="s">
        <v>332</v>
      </c>
      <c r="S116" s="7" t="str">
        <f t="shared" ca="1" si="6"/>
        <v>Unknown (missing duration data)</v>
      </c>
      <c r="T116" s="7" t="str">
        <f t="shared" si="7"/>
        <v/>
      </c>
    </row>
    <row r="117" spans="1:20" x14ac:dyDescent="0.25">
      <c r="A117" s="4">
        <v>115</v>
      </c>
      <c r="B117" s="23" t="s">
        <v>197</v>
      </c>
      <c r="C117" s="4">
        <v>6</v>
      </c>
      <c r="D117" s="23" t="s">
        <v>346</v>
      </c>
      <c r="E117" s="4" t="s">
        <v>229</v>
      </c>
      <c r="F117" s="4" t="s">
        <v>201</v>
      </c>
      <c r="G117" s="4">
        <v>780</v>
      </c>
      <c r="H117" s="4">
        <v>900</v>
      </c>
      <c r="I117" s="4"/>
      <c r="J117" s="23" t="s">
        <v>52</v>
      </c>
      <c r="K117" s="23" t="s">
        <v>88</v>
      </c>
      <c r="L117" s="23" t="s">
        <v>238</v>
      </c>
      <c r="M117" s="4" t="s">
        <v>19</v>
      </c>
      <c r="N117" s="4"/>
      <c r="O117" s="23" t="s">
        <v>342</v>
      </c>
      <c r="P117" s="28">
        <v>46179</v>
      </c>
      <c r="Q117" s="28">
        <v>46278</v>
      </c>
      <c r="R117" s="4"/>
      <c r="S117" s="4" t="str">
        <f t="shared" ca="1" si="6"/>
        <v>Ongoing</v>
      </c>
      <c r="T117" s="4" t="str">
        <f t="shared" si="7"/>
        <v/>
      </c>
    </row>
    <row r="118" spans="1:20" x14ac:dyDescent="0.25">
      <c r="A118" s="7">
        <v>116</v>
      </c>
      <c r="B118" s="29" t="s">
        <v>197</v>
      </c>
      <c r="C118" s="7">
        <v>6</v>
      </c>
      <c r="D118" s="29" t="s">
        <v>347</v>
      </c>
      <c r="E118" s="7" t="s">
        <v>201</v>
      </c>
      <c r="F118" s="7" t="s">
        <v>199</v>
      </c>
      <c r="G118" s="7">
        <v>900</v>
      </c>
      <c r="H118" s="7">
        <v>1020</v>
      </c>
      <c r="I118" s="7"/>
      <c r="J118" s="29" t="s">
        <v>52</v>
      </c>
      <c r="K118" s="29" t="s">
        <v>88</v>
      </c>
      <c r="L118" s="29" t="s">
        <v>243</v>
      </c>
      <c r="M118" s="7" t="s">
        <v>19</v>
      </c>
      <c r="N118" s="7"/>
      <c r="O118" s="29"/>
      <c r="P118" s="30"/>
      <c r="Q118" s="30"/>
      <c r="R118" s="32" t="s">
        <v>332</v>
      </c>
      <c r="S118" s="7" t="str">
        <f t="shared" ca="1" si="6"/>
        <v>Unknown (missing duration data)</v>
      </c>
      <c r="T118" s="7" t="str">
        <f t="shared" si="7"/>
        <v/>
      </c>
    </row>
    <row r="119" spans="1:20" x14ac:dyDescent="0.25">
      <c r="A119" s="4">
        <v>117</v>
      </c>
      <c r="B119" s="23" t="s">
        <v>197</v>
      </c>
      <c r="C119" s="4">
        <v>6</v>
      </c>
      <c r="D119" s="23" t="s">
        <v>348</v>
      </c>
      <c r="E119" s="4" t="s">
        <v>229</v>
      </c>
      <c r="F119" s="4" t="s">
        <v>199</v>
      </c>
      <c r="G119" s="4">
        <v>780</v>
      </c>
      <c r="H119" s="4">
        <v>1020</v>
      </c>
      <c r="I119" s="4"/>
      <c r="J119" s="23" t="s">
        <v>53</v>
      </c>
      <c r="K119" s="23" t="s">
        <v>88</v>
      </c>
      <c r="L119" s="23" t="s">
        <v>239</v>
      </c>
      <c r="M119" s="4" t="s">
        <v>18</v>
      </c>
      <c r="N119" s="4"/>
      <c r="O119" s="23"/>
      <c r="P119" s="28"/>
      <c r="Q119" s="28"/>
      <c r="R119" s="31" t="s">
        <v>332</v>
      </c>
      <c r="S119" s="4" t="str">
        <f t="shared" ca="1" si="6"/>
        <v>Unknown (missing duration data)</v>
      </c>
      <c r="T119" s="4" t="str">
        <f t="shared" si="7"/>
        <v/>
      </c>
    </row>
    <row r="120" spans="1:20" x14ac:dyDescent="0.25">
      <c r="A120" s="7">
        <v>118</v>
      </c>
      <c r="B120" s="29" t="s">
        <v>197</v>
      </c>
      <c r="C120" s="7">
        <v>6</v>
      </c>
      <c r="D120" s="29" t="s">
        <v>348</v>
      </c>
      <c r="E120" s="7" t="s">
        <v>229</v>
      </c>
      <c r="F120" s="7" t="s">
        <v>199</v>
      </c>
      <c r="G120" s="7">
        <v>780</v>
      </c>
      <c r="H120" s="7">
        <v>1020</v>
      </c>
      <c r="I120" s="7"/>
      <c r="J120" s="29" t="s">
        <v>55</v>
      </c>
      <c r="K120" s="29" t="s">
        <v>88</v>
      </c>
      <c r="L120" s="29" t="s">
        <v>240</v>
      </c>
      <c r="M120" s="7" t="s">
        <v>18</v>
      </c>
      <c r="N120" s="7"/>
      <c r="O120" s="29" t="s">
        <v>330</v>
      </c>
      <c r="P120" s="30">
        <v>46214</v>
      </c>
      <c r="Q120" s="30">
        <v>46361</v>
      </c>
      <c r="R120" s="7"/>
      <c r="S120" s="7" t="str">
        <f t="shared" ca="1" si="6"/>
        <v>Ongoing</v>
      </c>
      <c r="T120" s="7" t="str">
        <f t="shared" si="7"/>
        <v/>
      </c>
    </row>
    <row r="121" spans="1:20" x14ac:dyDescent="0.25">
      <c r="A121" s="4">
        <v>119</v>
      </c>
      <c r="B121" s="23" t="s">
        <v>197</v>
      </c>
      <c r="C121" s="4">
        <v>6</v>
      </c>
      <c r="D121" s="23" t="s">
        <v>348</v>
      </c>
      <c r="E121" s="4" t="s">
        <v>229</v>
      </c>
      <c r="F121" s="4" t="s">
        <v>199</v>
      </c>
      <c r="G121" s="4">
        <v>780</v>
      </c>
      <c r="H121" s="4">
        <v>1020</v>
      </c>
      <c r="I121" s="4"/>
      <c r="J121" s="23" t="s">
        <v>56</v>
      </c>
      <c r="K121" s="23" t="s">
        <v>88</v>
      </c>
      <c r="L121" s="23" t="s">
        <v>241</v>
      </c>
      <c r="M121" s="4" t="s">
        <v>18</v>
      </c>
      <c r="N121" s="4"/>
      <c r="O121" s="23" t="s">
        <v>330</v>
      </c>
      <c r="P121" s="28">
        <v>46214</v>
      </c>
      <c r="Q121" s="28">
        <v>46361</v>
      </c>
      <c r="R121" s="4"/>
      <c r="S121" s="4" t="str">
        <f t="shared" ca="1" si="6"/>
        <v>Ongoing</v>
      </c>
      <c r="T121" s="4" t="str">
        <f t="shared" si="7"/>
        <v/>
      </c>
    </row>
    <row r="122" spans="1:20" x14ac:dyDescent="0.25">
      <c r="A122" s="7">
        <v>120</v>
      </c>
      <c r="B122" s="29" t="s">
        <v>197</v>
      </c>
      <c r="C122" s="7">
        <v>6</v>
      </c>
      <c r="D122" s="29" t="s">
        <v>348</v>
      </c>
      <c r="E122" s="7" t="s">
        <v>229</v>
      </c>
      <c r="F122" s="7" t="s">
        <v>199</v>
      </c>
      <c r="G122" s="7">
        <v>780</v>
      </c>
      <c r="H122" s="7">
        <v>1020</v>
      </c>
      <c r="I122" s="7"/>
      <c r="J122" s="29" t="s">
        <v>58</v>
      </c>
      <c r="K122" s="29" t="s">
        <v>88</v>
      </c>
      <c r="L122" s="29" t="s">
        <v>242</v>
      </c>
      <c r="M122" s="7" t="s">
        <v>18</v>
      </c>
      <c r="N122" s="7"/>
      <c r="O122" s="29" t="s">
        <v>349</v>
      </c>
      <c r="P122" s="30">
        <v>46118</v>
      </c>
      <c r="Q122" s="30">
        <v>46321</v>
      </c>
      <c r="R122" s="7"/>
      <c r="S122" s="7" t="str">
        <f t="shared" ca="1" si="6"/>
        <v>Ongoing</v>
      </c>
      <c r="T122" s="7" t="str">
        <f t="shared" si="7"/>
        <v/>
      </c>
    </row>
    <row r="123" spans="1:20" x14ac:dyDescent="0.25">
      <c r="A123" s="4">
        <v>121</v>
      </c>
      <c r="B123" s="23" t="s">
        <v>197</v>
      </c>
      <c r="C123" s="4">
        <v>6</v>
      </c>
      <c r="D123" s="23" t="s">
        <v>348</v>
      </c>
      <c r="E123" s="4" t="s">
        <v>229</v>
      </c>
      <c r="F123" s="4" t="s">
        <v>199</v>
      </c>
      <c r="G123" s="4">
        <v>780</v>
      </c>
      <c r="H123" s="4">
        <v>1020</v>
      </c>
      <c r="I123" s="4"/>
      <c r="J123" s="23" t="s">
        <v>48</v>
      </c>
      <c r="K123" s="23" t="s">
        <v>88</v>
      </c>
      <c r="L123" s="23" t="s">
        <v>235</v>
      </c>
      <c r="M123" s="4" t="s">
        <v>18</v>
      </c>
      <c r="N123" s="4"/>
      <c r="O123" s="23"/>
      <c r="P123" s="28"/>
      <c r="Q123" s="28"/>
      <c r="R123" s="31" t="s">
        <v>332</v>
      </c>
      <c r="S123" s="4" t="str">
        <f t="shared" ca="1" si="6"/>
        <v>Unknown (missing duration data)</v>
      </c>
      <c r="T123" s="4" t="str">
        <f t="shared" si="7"/>
        <v/>
      </c>
    </row>
    <row r="124" spans="1:20" x14ac:dyDescent="0.25">
      <c r="A124" s="7">
        <v>122</v>
      </c>
      <c r="B124" s="29" t="s">
        <v>197</v>
      </c>
      <c r="C124" s="7">
        <v>6</v>
      </c>
      <c r="D124" s="29" t="s">
        <v>348</v>
      </c>
      <c r="E124" s="7" t="s">
        <v>229</v>
      </c>
      <c r="F124" s="7" t="s">
        <v>199</v>
      </c>
      <c r="G124" s="7">
        <v>780</v>
      </c>
      <c r="H124" s="7">
        <v>1020</v>
      </c>
      <c r="I124" s="7"/>
      <c r="J124" s="29" t="s">
        <v>49</v>
      </c>
      <c r="K124" s="29" t="s">
        <v>88</v>
      </c>
      <c r="L124" s="29" t="s">
        <v>236</v>
      </c>
      <c r="M124" s="7" t="s">
        <v>18</v>
      </c>
      <c r="N124" s="7"/>
      <c r="O124" s="29" t="s">
        <v>330</v>
      </c>
      <c r="P124" s="30">
        <v>46214</v>
      </c>
      <c r="Q124" s="30">
        <v>46361</v>
      </c>
      <c r="R124" s="7"/>
      <c r="S124" s="7" t="str">
        <f t="shared" ca="1" si="6"/>
        <v>Ongoing</v>
      </c>
      <c r="T124" s="7" t="str">
        <f t="shared" si="7"/>
        <v/>
      </c>
    </row>
    <row r="125" spans="1:20" x14ac:dyDescent="0.25">
      <c r="A125" s="4">
        <v>123</v>
      </c>
      <c r="B125" s="23" t="s">
        <v>197</v>
      </c>
      <c r="C125" s="4">
        <v>6</v>
      </c>
      <c r="D125" s="23" t="s">
        <v>348</v>
      </c>
      <c r="E125" s="4" t="s">
        <v>229</v>
      </c>
      <c r="F125" s="4" t="s">
        <v>199</v>
      </c>
      <c r="G125" s="4">
        <v>780</v>
      </c>
      <c r="H125" s="4">
        <v>1020</v>
      </c>
      <c r="I125" s="4"/>
      <c r="J125" s="23" t="s">
        <v>50</v>
      </c>
      <c r="K125" s="23" t="s">
        <v>88</v>
      </c>
      <c r="L125" s="23" t="s">
        <v>237</v>
      </c>
      <c r="M125" s="4" t="s">
        <v>18</v>
      </c>
      <c r="N125" s="4"/>
      <c r="O125" s="23" t="s">
        <v>335</v>
      </c>
      <c r="P125" s="28">
        <v>46193</v>
      </c>
      <c r="Q125" s="28">
        <v>46376</v>
      </c>
      <c r="R125" s="4"/>
      <c r="S125" s="4" t="str">
        <f t="shared" ca="1" si="6"/>
        <v>Ongoing</v>
      </c>
      <c r="T125" s="4" t="str">
        <f t="shared" si="7"/>
        <v/>
      </c>
    </row>
    <row r="126" spans="1:20" x14ac:dyDescent="0.25">
      <c r="A126" s="7">
        <v>124</v>
      </c>
      <c r="B126" s="29" t="s">
        <v>197</v>
      </c>
      <c r="C126" s="7">
        <v>6</v>
      </c>
      <c r="D126" s="29" t="s">
        <v>348</v>
      </c>
      <c r="E126" s="7" t="s">
        <v>229</v>
      </c>
      <c r="F126" s="7" t="s">
        <v>199</v>
      </c>
      <c r="G126" s="7">
        <v>780</v>
      </c>
      <c r="H126" s="7">
        <v>1020</v>
      </c>
      <c r="I126" s="7"/>
      <c r="J126" s="29" t="s">
        <v>44</v>
      </c>
      <c r="K126" s="29" t="s">
        <v>88</v>
      </c>
      <c r="L126" s="29" t="s">
        <v>232</v>
      </c>
      <c r="M126" s="7" t="s">
        <v>19</v>
      </c>
      <c r="N126" s="7"/>
      <c r="O126" s="29" t="s">
        <v>342</v>
      </c>
      <c r="P126" s="30">
        <v>46179</v>
      </c>
      <c r="Q126" s="30">
        <v>46278</v>
      </c>
      <c r="R126" s="7"/>
      <c r="S126" s="7" t="str">
        <f t="shared" ca="1" si="6"/>
        <v>Ongoing</v>
      </c>
      <c r="T126" s="7" t="str">
        <f t="shared" si="7"/>
        <v/>
      </c>
    </row>
    <row r="127" spans="1:20" x14ac:dyDescent="0.25">
      <c r="A127" s="4">
        <v>125</v>
      </c>
      <c r="B127" s="23" t="s">
        <v>197</v>
      </c>
      <c r="C127" s="4">
        <v>6</v>
      </c>
      <c r="D127" s="23" t="s">
        <v>348</v>
      </c>
      <c r="E127" s="4" t="s">
        <v>229</v>
      </c>
      <c r="F127" s="4" t="s">
        <v>199</v>
      </c>
      <c r="G127" s="4">
        <v>780</v>
      </c>
      <c r="H127" s="4">
        <v>1020</v>
      </c>
      <c r="I127" s="4"/>
      <c r="J127" s="23" t="s">
        <v>45</v>
      </c>
      <c r="K127" s="23" t="s">
        <v>88</v>
      </c>
      <c r="L127" s="23" t="s">
        <v>233</v>
      </c>
      <c r="M127" s="4" t="s">
        <v>19</v>
      </c>
      <c r="N127" s="4"/>
      <c r="O127" s="23" t="s">
        <v>342</v>
      </c>
      <c r="P127" s="28">
        <v>46179</v>
      </c>
      <c r="Q127" s="28">
        <v>46278</v>
      </c>
      <c r="R127" s="4"/>
      <c r="S127" s="4" t="str">
        <f t="shared" ca="1" si="6"/>
        <v>Ongoing</v>
      </c>
      <c r="T127" s="4" t="str">
        <f t="shared" si="7"/>
        <v/>
      </c>
    </row>
    <row r="128" spans="1:20" x14ac:dyDescent="0.25">
      <c r="A128" s="7">
        <v>126</v>
      </c>
      <c r="B128" s="29" t="s">
        <v>197</v>
      </c>
      <c r="C128" s="7">
        <v>6</v>
      </c>
      <c r="D128" s="29" t="s">
        <v>348</v>
      </c>
      <c r="E128" s="7" t="s">
        <v>229</v>
      </c>
      <c r="F128" s="7" t="s">
        <v>199</v>
      </c>
      <c r="G128" s="7">
        <v>780</v>
      </c>
      <c r="H128" s="7">
        <v>1020</v>
      </c>
      <c r="I128" s="7"/>
      <c r="J128" s="29" t="s">
        <v>46</v>
      </c>
      <c r="K128" s="29" t="s">
        <v>88</v>
      </c>
      <c r="L128" s="29" t="s">
        <v>234</v>
      </c>
      <c r="M128" s="7" t="s">
        <v>19</v>
      </c>
      <c r="N128" s="7"/>
      <c r="O128" s="29" t="s">
        <v>342</v>
      </c>
      <c r="P128" s="30">
        <v>46179</v>
      </c>
      <c r="Q128" s="30">
        <v>46278</v>
      </c>
      <c r="R128" s="7"/>
      <c r="S128" s="7" t="str">
        <f t="shared" ca="1" si="6"/>
        <v>Ongoing</v>
      </c>
      <c r="T128" s="7" t="str">
        <f t="shared" si="7"/>
        <v/>
      </c>
    </row>
    <row r="129" spans="1:20" x14ac:dyDescent="0.25">
      <c r="A129" s="4">
        <v>127</v>
      </c>
      <c r="B129" s="23" t="s">
        <v>197</v>
      </c>
      <c r="C129" s="4">
        <v>6</v>
      </c>
      <c r="D129" s="23" t="s">
        <v>348</v>
      </c>
      <c r="E129" s="4" t="s">
        <v>229</v>
      </c>
      <c r="F129" s="4" t="s">
        <v>199</v>
      </c>
      <c r="G129" s="4">
        <v>780</v>
      </c>
      <c r="H129" s="4">
        <v>1020</v>
      </c>
      <c r="I129" s="4"/>
      <c r="J129" s="23" t="s">
        <v>37</v>
      </c>
      <c r="K129" s="23" t="s">
        <v>88</v>
      </c>
      <c r="L129" s="23" t="s">
        <v>230</v>
      </c>
      <c r="M129" s="4" t="s">
        <v>20</v>
      </c>
      <c r="N129" s="4"/>
      <c r="O129" s="23" t="s">
        <v>350</v>
      </c>
      <c r="P129" s="28">
        <v>46109</v>
      </c>
      <c r="Q129" s="28">
        <v>46277</v>
      </c>
      <c r="R129" s="4"/>
      <c r="S129" s="4" t="str">
        <f t="shared" ca="1" si="6"/>
        <v>Ongoing</v>
      </c>
      <c r="T129" s="4" t="str">
        <f t="shared" si="7"/>
        <v/>
      </c>
    </row>
    <row r="130" spans="1:20" x14ac:dyDescent="0.25">
      <c r="A130" s="7">
        <v>128</v>
      </c>
      <c r="B130" s="29" t="s">
        <v>197</v>
      </c>
      <c r="C130" s="7">
        <v>6</v>
      </c>
      <c r="D130" s="29" t="s">
        <v>348</v>
      </c>
      <c r="E130" s="7" t="s">
        <v>229</v>
      </c>
      <c r="F130" s="7" t="s">
        <v>199</v>
      </c>
      <c r="G130" s="7">
        <v>780</v>
      </c>
      <c r="H130" s="7">
        <v>1020</v>
      </c>
      <c r="I130" s="7"/>
      <c r="J130" s="29" t="s">
        <v>70</v>
      </c>
      <c r="K130" s="29" t="s">
        <v>92</v>
      </c>
      <c r="L130" s="29" t="s">
        <v>231</v>
      </c>
      <c r="M130" s="7" t="s">
        <v>20</v>
      </c>
      <c r="N130" s="7"/>
      <c r="O130" s="29" t="s">
        <v>351</v>
      </c>
      <c r="P130" s="30"/>
      <c r="Q130" s="30"/>
      <c r="R130" s="32" t="s">
        <v>332</v>
      </c>
      <c r="S130" s="7" t="str">
        <f t="shared" ca="1" si="6"/>
        <v>Unknown (missing duration data)</v>
      </c>
      <c r="T130" s="7" t="str">
        <f t="shared" si="7"/>
        <v/>
      </c>
    </row>
    <row r="131" spans="1:20" x14ac:dyDescent="0.25">
      <c r="A131" s="4">
        <v>129</v>
      </c>
      <c r="B131" s="23" t="s">
        <v>244</v>
      </c>
      <c r="C131" s="4">
        <v>7</v>
      </c>
      <c r="D131" s="23" t="s">
        <v>340</v>
      </c>
      <c r="E131" s="4" t="s">
        <v>198</v>
      </c>
      <c r="F131" s="4" t="s">
        <v>199</v>
      </c>
      <c r="G131" s="4">
        <v>480</v>
      </c>
      <c r="H131" s="4">
        <v>1020</v>
      </c>
      <c r="I131" s="4"/>
      <c r="J131" s="23" t="s">
        <v>52</v>
      </c>
      <c r="K131" s="23" t="s">
        <v>88</v>
      </c>
      <c r="L131" s="23" t="s">
        <v>262</v>
      </c>
      <c r="M131" s="4" t="s">
        <v>18</v>
      </c>
      <c r="N131" s="4"/>
      <c r="O131" s="23" t="s">
        <v>330</v>
      </c>
      <c r="P131" s="28">
        <v>46214</v>
      </c>
      <c r="Q131" s="28">
        <v>46361</v>
      </c>
      <c r="R131" s="4"/>
      <c r="S131" s="4" t="str">
        <f t="shared" ref="S131:S165" ca="1" si="8">IF(OR(P131="",Q131=""),"Unknown (missing duration data)",IF(TODAY()&gt;Q131,"Completed",IF(TODAY()&lt;P131,"Upcoming","Ongoing")))</f>
        <v>Ongoing</v>
      </c>
      <c r="T131" s="4" t="str">
        <f t="shared" ref="T131:T165" si="9">IF(SUMPRODUCT(($J$3:$J$165=J131)*($B$3:$B$165=B131)*($A$3:$A$165&lt;&gt;A131)*($G$3:$G$165&lt;H131)*($H$3:$H$165&gt;G131))&gt;0,"CONFLICT","")</f>
        <v/>
      </c>
    </row>
    <row r="132" spans="1:20" x14ac:dyDescent="0.25">
      <c r="A132" s="7">
        <v>130</v>
      </c>
      <c r="B132" s="29" t="s">
        <v>244</v>
      </c>
      <c r="C132" s="7">
        <v>7</v>
      </c>
      <c r="D132" s="29" t="s">
        <v>340</v>
      </c>
      <c r="E132" s="7" t="s">
        <v>198</v>
      </c>
      <c r="F132" s="7" t="s">
        <v>199</v>
      </c>
      <c r="G132" s="7">
        <v>480</v>
      </c>
      <c r="H132" s="7">
        <v>1020</v>
      </c>
      <c r="I132" s="7"/>
      <c r="J132" s="29" t="s">
        <v>53</v>
      </c>
      <c r="K132" s="29" t="s">
        <v>88</v>
      </c>
      <c r="L132" s="29" t="s">
        <v>263</v>
      </c>
      <c r="M132" s="7" t="s">
        <v>18</v>
      </c>
      <c r="N132" s="7"/>
      <c r="O132" s="29" t="s">
        <v>352</v>
      </c>
      <c r="P132" s="30">
        <v>46117</v>
      </c>
      <c r="Q132" s="30">
        <v>46285</v>
      </c>
      <c r="R132" s="7"/>
      <c r="S132" s="7" t="str">
        <f t="shared" ca="1" si="8"/>
        <v>Ongoing</v>
      </c>
      <c r="T132" s="7" t="str">
        <f t="shared" si="9"/>
        <v/>
      </c>
    </row>
    <row r="133" spans="1:20" x14ac:dyDescent="0.25">
      <c r="A133" s="4">
        <v>131</v>
      </c>
      <c r="B133" s="23" t="s">
        <v>244</v>
      </c>
      <c r="C133" s="4">
        <v>7</v>
      </c>
      <c r="D133" s="23" t="s">
        <v>340</v>
      </c>
      <c r="E133" s="4" t="s">
        <v>198</v>
      </c>
      <c r="F133" s="4" t="s">
        <v>199</v>
      </c>
      <c r="G133" s="4">
        <v>480</v>
      </c>
      <c r="H133" s="4">
        <v>1020</v>
      </c>
      <c r="I133" s="4"/>
      <c r="J133" s="23" t="s">
        <v>58</v>
      </c>
      <c r="K133" s="23" t="s">
        <v>88</v>
      </c>
      <c r="L133" s="23" t="s">
        <v>268</v>
      </c>
      <c r="M133" s="4" t="s">
        <v>18</v>
      </c>
      <c r="N133" s="4"/>
      <c r="O133" s="23" t="s">
        <v>352</v>
      </c>
      <c r="P133" s="28">
        <v>46117</v>
      </c>
      <c r="Q133" s="28">
        <v>46285</v>
      </c>
      <c r="R133" s="4"/>
      <c r="S133" s="4" t="str">
        <f t="shared" ca="1" si="8"/>
        <v>Ongoing</v>
      </c>
      <c r="T133" s="4" t="str">
        <f t="shared" si="9"/>
        <v/>
      </c>
    </row>
    <row r="134" spans="1:20" x14ac:dyDescent="0.25">
      <c r="A134" s="7">
        <v>132</v>
      </c>
      <c r="B134" s="29" t="s">
        <v>244</v>
      </c>
      <c r="C134" s="7">
        <v>7</v>
      </c>
      <c r="D134" s="29" t="s">
        <v>340</v>
      </c>
      <c r="E134" s="7" t="s">
        <v>198</v>
      </c>
      <c r="F134" s="7" t="s">
        <v>199</v>
      </c>
      <c r="G134" s="7">
        <v>480</v>
      </c>
      <c r="H134" s="7">
        <v>1020</v>
      </c>
      <c r="I134" s="7"/>
      <c r="J134" s="29" t="s">
        <v>51</v>
      </c>
      <c r="K134" s="29" t="s">
        <v>88</v>
      </c>
      <c r="L134" s="29" t="s">
        <v>261</v>
      </c>
      <c r="M134" s="7" t="s">
        <v>18</v>
      </c>
      <c r="N134" s="7"/>
      <c r="O134" s="29" t="s">
        <v>353</v>
      </c>
      <c r="P134" s="30">
        <v>46209</v>
      </c>
      <c r="Q134" s="30">
        <v>46285</v>
      </c>
      <c r="R134" s="7"/>
      <c r="S134" s="7" t="str">
        <f t="shared" ca="1" si="8"/>
        <v>Ongoing</v>
      </c>
      <c r="T134" s="7" t="str">
        <f t="shared" si="9"/>
        <v/>
      </c>
    </row>
    <row r="135" spans="1:20" x14ac:dyDescent="0.25">
      <c r="A135" s="4">
        <v>133</v>
      </c>
      <c r="B135" s="23" t="s">
        <v>244</v>
      </c>
      <c r="C135" s="4">
        <v>7</v>
      </c>
      <c r="D135" s="23" t="s">
        <v>340</v>
      </c>
      <c r="E135" s="4" t="s">
        <v>198</v>
      </c>
      <c r="F135" s="4" t="s">
        <v>199</v>
      </c>
      <c r="G135" s="4">
        <v>480</v>
      </c>
      <c r="H135" s="4">
        <v>1020</v>
      </c>
      <c r="I135" s="4"/>
      <c r="J135" s="23" t="s">
        <v>45</v>
      </c>
      <c r="K135" s="23" t="s">
        <v>88</v>
      </c>
      <c r="L135" s="23" t="s">
        <v>254</v>
      </c>
      <c r="M135" s="4" t="s">
        <v>255</v>
      </c>
      <c r="N135" s="31" t="s">
        <v>354</v>
      </c>
      <c r="O135" s="23" t="s">
        <v>355</v>
      </c>
      <c r="P135" s="28"/>
      <c r="Q135" s="28"/>
      <c r="R135" s="31" t="s">
        <v>356</v>
      </c>
      <c r="S135" s="4" t="str">
        <f t="shared" ca="1" si="8"/>
        <v>Unknown (missing duration data)</v>
      </c>
      <c r="T135" s="4" t="str">
        <f t="shared" si="9"/>
        <v/>
      </c>
    </row>
    <row r="136" spans="1:20" x14ac:dyDescent="0.25">
      <c r="A136" s="7">
        <v>134</v>
      </c>
      <c r="B136" s="29" t="s">
        <v>244</v>
      </c>
      <c r="C136" s="7">
        <v>7</v>
      </c>
      <c r="D136" s="29" t="s">
        <v>340</v>
      </c>
      <c r="E136" s="7" t="s">
        <v>198</v>
      </c>
      <c r="F136" s="7" t="s">
        <v>199</v>
      </c>
      <c r="G136" s="7">
        <v>480</v>
      </c>
      <c r="H136" s="7">
        <v>1020</v>
      </c>
      <c r="I136" s="7"/>
      <c r="J136" s="29" t="s">
        <v>35</v>
      </c>
      <c r="K136" s="29" t="s">
        <v>88</v>
      </c>
      <c r="L136" s="29" t="s">
        <v>248</v>
      </c>
      <c r="M136" s="7" t="s">
        <v>19</v>
      </c>
      <c r="N136" s="7"/>
      <c r="O136" s="29"/>
      <c r="P136" s="30"/>
      <c r="Q136" s="30"/>
      <c r="R136" s="32" t="s">
        <v>332</v>
      </c>
      <c r="S136" s="7" t="str">
        <f t="shared" ca="1" si="8"/>
        <v>Unknown (missing duration data)</v>
      </c>
      <c r="T136" s="7" t="str">
        <f t="shared" si="9"/>
        <v/>
      </c>
    </row>
    <row r="137" spans="1:20" x14ac:dyDescent="0.25">
      <c r="A137" s="4">
        <v>135</v>
      </c>
      <c r="B137" s="23" t="s">
        <v>244</v>
      </c>
      <c r="C137" s="4">
        <v>7</v>
      </c>
      <c r="D137" s="23" t="s">
        <v>340</v>
      </c>
      <c r="E137" s="4" t="s">
        <v>198</v>
      </c>
      <c r="F137" s="4" t="s">
        <v>199</v>
      </c>
      <c r="G137" s="4">
        <v>480</v>
      </c>
      <c r="H137" s="4">
        <v>1020</v>
      </c>
      <c r="I137" s="4"/>
      <c r="J137" s="23" t="s">
        <v>36</v>
      </c>
      <c r="K137" s="23" t="s">
        <v>88</v>
      </c>
      <c r="L137" s="23" t="s">
        <v>249</v>
      </c>
      <c r="M137" s="4" t="s">
        <v>19</v>
      </c>
      <c r="N137" s="4"/>
      <c r="O137" s="23"/>
      <c r="P137" s="28"/>
      <c r="Q137" s="28"/>
      <c r="R137" s="31" t="s">
        <v>332</v>
      </c>
      <c r="S137" s="4" t="str">
        <f t="shared" ca="1" si="8"/>
        <v>Unknown (missing duration data)</v>
      </c>
      <c r="T137" s="4" t="str">
        <f t="shared" si="9"/>
        <v/>
      </c>
    </row>
    <row r="138" spans="1:20" x14ac:dyDescent="0.25">
      <c r="A138" s="7">
        <v>136</v>
      </c>
      <c r="B138" s="29" t="s">
        <v>244</v>
      </c>
      <c r="C138" s="7">
        <v>7</v>
      </c>
      <c r="D138" s="29" t="s">
        <v>340</v>
      </c>
      <c r="E138" s="7" t="s">
        <v>198</v>
      </c>
      <c r="F138" s="7" t="s">
        <v>199</v>
      </c>
      <c r="G138" s="7">
        <v>480</v>
      </c>
      <c r="H138" s="7">
        <v>1020</v>
      </c>
      <c r="I138" s="7"/>
      <c r="J138" s="29" t="s">
        <v>37</v>
      </c>
      <c r="K138" s="29" t="s">
        <v>88</v>
      </c>
      <c r="L138" s="29" t="s">
        <v>250</v>
      </c>
      <c r="M138" s="7" t="s">
        <v>19</v>
      </c>
      <c r="N138" s="7"/>
      <c r="O138" s="29" t="s">
        <v>357</v>
      </c>
      <c r="P138" s="30">
        <v>46138</v>
      </c>
      <c r="Q138" s="30">
        <v>46269</v>
      </c>
      <c r="R138" s="7"/>
      <c r="S138" s="7" t="str">
        <f t="shared" ca="1" si="8"/>
        <v>Completed</v>
      </c>
      <c r="T138" s="7" t="str">
        <f t="shared" si="9"/>
        <v/>
      </c>
    </row>
    <row r="139" spans="1:20" x14ac:dyDescent="0.25">
      <c r="A139" s="4">
        <v>137</v>
      </c>
      <c r="B139" s="23" t="s">
        <v>244</v>
      </c>
      <c r="C139" s="4">
        <v>7</v>
      </c>
      <c r="D139" s="23" t="s">
        <v>340</v>
      </c>
      <c r="E139" s="4" t="s">
        <v>198</v>
      </c>
      <c r="F139" s="4" t="s">
        <v>199</v>
      </c>
      <c r="G139" s="4">
        <v>480</v>
      </c>
      <c r="H139" s="4">
        <v>1020</v>
      </c>
      <c r="I139" s="4"/>
      <c r="J139" s="23" t="s">
        <v>38</v>
      </c>
      <c r="K139" s="23" t="s">
        <v>88</v>
      </c>
      <c r="L139" s="23" t="s">
        <v>251</v>
      </c>
      <c r="M139" s="4" t="s">
        <v>19</v>
      </c>
      <c r="N139" s="4"/>
      <c r="O139" s="23" t="s">
        <v>358</v>
      </c>
      <c r="P139" s="28">
        <v>46138</v>
      </c>
      <c r="Q139" s="28">
        <v>46299</v>
      </c>
      <c r="R139" s="4"/>
      <c r="S139" s="4" t="str">
        <f t="shared" ca="1" si="8"/>
        <v>Ongoing</v>
      </c>
      <c r="T139" s="4" t="str">
        <f t="shared" si="9"/>
        <v/>
      </c>
    </row>
    <row r="140" spans="1:20" x14ac:dyDescent="0.25">
      <c r="A140" s="7">
        <v>138</v>
      </c>
      <c r="B140" s="29" t="s">
        <v>244</v>
      </c>
      <c r="C140" s="7">
        <v>7</v>
      </c>
      <c r="D140" s="29" t="s">
        <v>340</v>
      </c>
      <c r="E140" s="7" t="s">
        <v>198</v>
      </c>
      <c r="F140" s="7" t="s">
        <v>199</v>
      </c>
      <c r="G140" s="7">
        <v>480</v>
      </c>
      <c r="H140" s="7">
        <v>1020</v>
      </c>
      <c r="I140" s="7"/>
      <c r="J140" s="29" t="s">
        <v>57</v>
      </c>
      <c r="K140" s="29" t="s">
        <v>88</v>
      </c>
      <c r="L140" s="29" t="s">
        <v>267</v>
      </c>
      <c r="M140" s="7" t="s">
        <v>19</v>
      </c>
      <c r="N140" s="7"/>
      <c r="O140" s="29" t="s">
        <v>359</v>
      </c>
      <c r="P140" s="30">
        <v>46152</v>
      </c>
      <c r="Q140" s="30">
        <v>46305</v>
      </c>
      <c r="R140" s="7"/>
      <c r="S140" s="7" t="str">
        <f t="shared" ca="1" si="8"/>
        <v>Ongoing</v>
      </c>
      <c r="T140" s="7" t="str">
        <f t="shared" si="9"/>
        <v/>
      </c>
    </row>
    <row r="141" spans="1:20" x14ac:dyDescent="0.25">
      <c r="A141" s="4">
        <v>139</v>
      </c>
      <c r="B141" s="23" t="s">
        <v>244</v>
      </c>
      <c r="C141" s="4">
        <v>7</v>
      </c>
      <c r="D141" s="23" t="s">
        <v>340</v>
      </c>
      <c r="E141" s="4" t="s">
        <v>198</v>
      </c>
      <c r="F141" s="4" t="s">
        <v>199</v>
      </c>
      <c r="G141" s="4">
        <v>480</v>
      </c>
      <c r="H141" s="4">
        <v>1020</v>
      </c>
      <c r="I141" s="4"/>
      <c r="J141" s="23" t="s">
        <v>34</v>
      </c>
      <c r="K141" s="23" t="s">
        <v>88</v>
      </c>
      <c r="L141" s="23" t="s">
        <v>247</v>
      </c>
      <c r="M141" s="4" t="s">
        <v>19</v>
      </c>
      <c r="N141" s="4"/>
      <c r="O141" s="23" t="s">
        <v>360</v>
      </c>
      <c r="P141" s="28">
        <v>46117</v>
      </c>
      <c r="Q141" s="28">
        <v>46285</v>
      </c>
      <c r="R141" s="4"/>
      <c r="S141" s="4" t="str">
        <f t="shared" ca="1" si="8"/>
        <v>Ongoing</v>
      </c>
      <c r="T141" s="4" t="str">
        <f t="shared" si="9"/>
        <v/>
      </c>
    </row>
    <row r="142" spans="1:20" x14ac:dyDescent="0.25">
      <c r="A142" s="7">
        <v>140</v>
      </c>
      <c r="B142" s="29" t="s">
        <v>244</v>
      </c>
      <c r="C142" s="7">
        <v>7</v>
      </c>
      <c r="D142" s="29" t="s">
        <v>340</v>
      </c>
      <c r="E142" s="7" t="s">
        <v>198</v>
      </c>
      <c r="F142" s="7" t="s">
        <v>199</v>
      </c>
      <c r="G142" s="7">
        <v>480</v>
      </c>
      <c r="H142" s="7">
        <v>1020</v>
      </c>
      <c r="I142" s="7"/>
      <c r="J142" s="29" t="s">
        <v>41</v>
      </c>
      <c r="K142" s="29" t="s">
        <v>88</v>
      </c>
      <c r="L142" s="29" t="s">
        <v>252</v>
      </c>
      <c r="M142" s="7" t="s">
        <v>18</v>
      </c>
      <c r="N142" s="7"/>
      <c r="O142" s="29" t="s">
        <v>361</v>
      </c>
      <c r="P142" s="30">
        <v>46117</v>
      </c>
      <c r="Q142" s="30">
        <v>46285</v>
      </c>
      <c r="R142" s="7"/>
      <c r="S142" s="7" t="str">
        <f t="shared" ca="1" si="8"/>
        <v>Ongoing</v>
      </c>
      <c r="T142" s="7" t="str">
        <f t="shared" si="9"/>
        <v/>
      </c>
    </row>
    <row r="143" spans="1:20" x14ac:dyDescent="0.25">
      <c r="A143" s="4">
        <v>141</v>
      </c>
      <c r="B143" s="23" t="s">
        <v>244</v>
      </c>
      <c r="C143" s="4">
        <v>7</v>
      </c>
      <c r="D143" s="23" t="s">
        <v>331</v>
      </c>
      <c r="E143" s="4" t="s">
        <v>198</v>
      </c>
      <c r="F143" s="4" t="s">
        <v>203</v>
      </c>
      <c r="G143" s="4">
        <v>480</v>
      </c>
      <c r="H143" s="4">
        <v>720</v>
      </c>
      <c r="I143" s="4"/>
      <c r="J143" s="23" t="s">
        <v>54</v>
      </c>
      <c r="K143" s="23" t="s">
        <v>88</v>
      </c>
      <c r="L143" s="23" t="s">
        <v>264</v>
      </c>
      <c r="M143" s="4" t="s">
        <v>18</v>
      </c>
      <c r="N143" s="4"/>
      <c r="O143" s="23" t="s">
        <v>362</v>
      </c>
      <c r="P143" s="28">
        <v>46117</v>
      </c>
      <c r="Q143" s="28">
        <v>46322</v>
      </c>
      <c r="R143" s="4"/>
      <c r="S143" s="4" t="str">
        <f t="shared" ca="1" si="8"/>
        <v>Ongoing</v>
      </c>
      <c r="T143" s="4" t="str">
        <f t="shared" si="9"/>
        <v/>
      </c>
    </row>
    <row r="144" spans="1:20" x14ac:dyDescent="0.25">
      <c r="A144" s="7">
        <v>142</v>
      </c>
      <c r="B144" s="29" t="s">
        <v>244</v>
      </c>
      <c r="C144" s="7">
        <v>7</v>
      </c>
      <c r="D144" s="29" t="s">
        <v>348</v>
      </c>
      <c r="E144" s="7" t="s">
        <v>229</v>
      </c>
      <c r="F144" s="7" t="s">
        <v>199</v>
      </c>
      <c r="G144" s="7">
        <v>780</v>
      </c>
      <c r="H144" s="7">
        <v>1020</v>
      </c>
      <c r="I144" s="7"/>
      <c r="J144" s="29" t="s">
        <v>54</v>
      </c>
      <c r="K144" s="29" t="s">
        <v>88</v>
      </c>
      <c r="L144" s="29" t="s">
        <v>276</v>
      </c>
      <c r="M144" s="7" t="s">
        <v>18</v>
      </c>
      <c r="N144" s="7"/>
      <c r="O144" s="29" t="s">
        <v>363</v>
      </c>
      <c r="P144" s="30">
        <v>46117</v>
      </c>
      <c r="Q144" s="30">
        <v>46322</v>
      </c>
      <c r="R144" s="7"/>
      <c r="S144" s="7" t="str">
        <f t="shared" ca="1" si="8"/>
        <v>Ongoing</v>
      </c>
      <c r="T144" s="7" t="str">
        <f t="shared" si="9"/>
        <v/>
      </c>
    </row>
    <row r="145" spans="1:20" x14ac:dyDescent="0.25">
      <c r="A145" s="4">
        <v>143</v>
      </c>
      <c r="B145" s="23" t="s">
        <v>244</v>
      </c>
      <c r="C145" s="4">
        <v>7</v>
      </c>
      <c r="D145" s="23" t="s">
        <v>331</v>
      </c>
      <c r="E145" s="4" t="s">
        <v>198</v>
      </c>
      <c r="F145" s="4" t="s">
        <v>203</v>
      </c>
      <c r="G145" s="4">
        <v>480</v>
      </c>
      <c r="H145" s="4">
        <v>720</v>
      </c>
      <c r="I145" s="4"/>
      <c r="J145" s="23" t="s">
        <v>55</v>
      </c>
      <c r="K145" s="23" t="s">
        <v>88</v>
      </c>
      <c r="L145" s="23" t="s">
        <v>265</v>
      </c>
      <c r="M145" s="4" t="s">
        <v>18</v>
      </c>
      <c r="N145" s="4"/>
      <c r="O145" s="23" t="s">
        <v>364</v>
      </c>
      <c r="P145" s="28"/>
      <c r="Q145" s="28"/>
      <c r="R145" s="31" t="s">
        <v>332</v>
      </c>
      <c r="S145" s="4" t="str">
        <f t="shared" ca="1" si="8"/>
        <v>Unknown (missing duration data)</v>
      </c>
      <c r="T145" s="4" t="str">
        <f t="shared" si="9"/>
        <v/>
      </c>
    </row>
    <row r="146" spans="1:20" x14ac:dyDescent="0.25">
      <c r="A146" s="7">
        <v>144</v>
      </c>
      <c r="B146" s="29" t="s">
        <v>244</v>
      </c>
      <c r="C146" s="7">
        <v>7</v>
      </c>
      <c r="D146" s="29" t="s">
        <v>348</v>
      </c>
      <c r="E146" s="7" t="s">
        <v>229</v>
      </c>
      <c r="F146" s="7" t="s">
        <v>199</v>
      </c>
      <c r="G146" s="7">
        <v>780</v>
      </c>
      <c r="H146" s="7">
        <v>1020</v>
      </c>
      <c r="I146" s="7"/>
      <c r="J146" s="29" t="s">
        <v>55</v>
      </c>
      <c r="K146" s="29" t="s">
        <v>88</v>
      </c>
      <c r="L146" s="29" t="s">
        <v>277</v>
      </c>
      <c r="M146" s="7" t="s">
        <v>18</v>
      </c>
      <c r="N146" s="7"/>
      <c r="O146" s="29"/>
      <c r="P146" s="30"/>
      <c r="Q146" s="30"/>
      <c r="R146" s="32" t="s">
        <v>332</v>
      </c>
      <c r="S146" s="7" t="str">
        <f t="shared" ca="1" si="8"/>
        <v>Unknown (missing duration data)</v>
      </c>
      <c r="T146" s="7" t="str">
        <f t="shared" si="9"/>
        <v/>
      </c>
    </row>
    <row r="147" spans="1:20" x14ac:dyDescent="0.25">
      <c r="A147" s="4">
        <v>145</v>
      </c>
      <c r="B147" s="23" t="s">
        <v>244</v>
      </c>
      <c r="C147" s="4">
        <v>7</v>
      </c>
      <c r="D147" s="23" t="s">
        <v>331</v>
      </c>
      <c r="E147" s="4" t="s">
        <v>198</v>
      </c>
      <c r="F147" s="4" t="s">
        <v>203</v>
      </c>
      <c r="G147" s="4">
        <v>480</v>
      </c>
      <c r="H147" s="4">
        <v>720</v>
      </c>
      <c r="I147" s="4"/>
      <c r="J147" s="23" t="s">
        <v>56</v>
      </c>
      <c r="K147" s="23" t="s">
        <v>88</v>
      </c>
      <c r="L147" s="23" t="s">
        <v>266</v>
      </c>
      <c r="M147" s="4" t="s">
        <v>18</v>
      </c>
      <c r="N147" s="4"/>
      <c r="O147" s="23" t="s">
        <v>365</v>
      </c>
      <c r="P147" s="28">
        <v>46117</v>
      </c>
      <c r="Q147" s="28">
        <v>46250</v>
      </c>
      <c r="R147" s="4"/>
      <c r="S147" s="4" t="str">
        <f t="shared" ca="1" si="8"/>
        <v>Completed</v>
      </c>
      <c r="T147" s="4" t="str">
        <f t="shared" si="9"/>
        <v/>
      </c>
    </row>
    <row r="148" spans="1:20" x14ac:dyDescent="0.25">
      <c r="A148" s="7">
        <v>146</v>
      </c>
      <c r="B148" s="29" t="s">
        <v>244</v>
      </c>
      <c r="C148" s="7">
        <v>7</v>
      </c>
      <c r="D148" s="29" t="s">
        <v>348</v>
      </c>
      <c r="E148" s="7" t="s">
        <v>229</v>
      </c>
      <c r="F148" s="7" t="s">
        <v>199</v>
      </c>
      <c r="G148" s="7">
        <v>780</v>
      </c>
      <c r="H148" s="7">
        <v>1020</v>
      </c>
      <c r="I148" s="7"/>
      <c r="J148" s="29" t="s">
        <v>56</v>
      </c>
      <c r="K148" s="29" t="s">
        <v>88</v>
      </c>
      <c r="L148" s="29" t="s">
        <v>278</v>
      </c>
      <c r="M148" s="7" t="s">
        <v>18</v>
      </c>
      <c r="N148" s="7"/>
      <c r="O148" s="29"/>
      <c r="P148" s="30"/>
      <c r="Q148" s="30"/>
      <c r="R148" s="32" t="s">
        <v>332</v>
      </c>
      <c r="S148" s="7" t="str">
        <f t="shared" ca="1" si="8"/>
        <v>Unknown (missing duration data)</v>
      </c>
      <c r="T148" s="7" t="str">
        <f t="shared" si="9"/>
        <v/>
      </c>
    </row>
    <row r="149" spans="1:20" x14ac:dyDescent="0.25">
      <c r="A149" s="4">
        <v>147</v>
      </c>
      <c r="B149" s="23" t="s">
        <v>244</v>
      </c>
      <c r="C149" s="4">
        <v>7</v>
      </c>
      <c r="D149" s="23" t="s">
        <v>334</v>
      </c>
      <c r="E149" s="4" t="s">
        <v>198</v>
      </c>
      <c r="F149" s="4" t="s">
        <v>209</v>
      </c>
      <c r="G149" s="4">
        <v>480</v>
      </c>
      <c r="H149" s="4">
        <v>600</v>
      </c>
      <c r="I149" s="4"/>
      <c r="J149" s="23" t="s">
        <v>59</v>
      </c>
      <c r="K149" s="23" t="s">
        <v>88</v>
      </c>
      <c r="L149" s="23" t="s">
        <v>269</v>
      </c>
      <c r="M149" s="4" t="s">
        <v>18</v>
      </c>
      <c r="N149" s="4"/>
      <c r="O149" s="23"/>
      <c r="P149" s="28"/>
      <c r="Q149" s="28"/>
      <c r="R149" s="31" t="s">
        <v>332</v>
      </c>
      <c r="S149" s="4" t="str">
        <f t="shared" ca="1" si="8"/>
        <v>Unknown (missing duration data)</v>
      </c>
      <c r="T149" s="4" t="str">
        <f t="shared" si="9"/>
        <v/>
      </c>
    </row>
    <row r="150" spans="1:20" x14ac:dyDescent="0.25">
      <c r="A150" s="7">
        <v>148</v>
      </c>
      <c r="B150" s="29" t="s">
        <v>244</v>
      </c>
      <c r="C150" s="7">
        <v>7</v>
      </c>
      <c r="D150" s="29" t="s">
        <v>366</v>
      </c>
      <c r="E150" s="7" t="s">
        <v>209</v>
      </c>
      <c r="F150" s="7" t="s">
        <v>199</v>
      </c>
      <c r="G150" s="7">
        <v>600</v>
      </c>
      <c r="H150" s="7">
        <v>1020</v>
      </c>
      <c r="I150" s="7"/>
      <c r="J150" s="29" t="s">
        <v>59</v>
      </c>
      <c r="K150" s="29" t="s">
        <v>88</v>
      </c>
      <c r="L150" s="29" t="s">
        <v>273</v>
      </c>
      <c r="M150" s="7" t="s">
        <v>18</v>
      </c>
      <c r="N150" s="7"/>
      <c r="O150" s="29"/>
      <c r="P150" s="30"/>
      <c r="Q150" s="30"/>
      <c r="R150" s="32" t="s">
        <v>332</v>
      </c>
      <c r="S150" s="7" t="str">
        <f t="shared" ca="1" si="8"/>
        <v>Unknown (missing duration data)</v>
      </c>
      <c r="T150" s="7" t="str">
        <f t="shared" si="9"/>
        <v/>
      </c>
    </row>
    <row r="151" spans="1:20" x14ac:dyDescent="0.25">
      <c r="A151" s="4">
        <v>149</v>
      </c>
      <c r="B151" s="23" t="s">
        <v>244</v>
      </c>
      <c r="C151" s="4">
        <v>7</v>
      </c>
      <c r="D151" s="23" t="s">
        <v>331</v>
      </c>
      <c r="E151" s="4" t="s">
        <v>198</v>
      </c>
      <c r="F151" s="4" t="s">
        <v>203</v>
      </c>
      <c r="G151" s="4">
        <v>480</v>
      </c>
      <c r="H151" s="4">
        <v>720</v>
      </c>
      <c r="I151" s="4"/>
      <c r="J151" s="23" t="s">
        <v>48</v>
      </c>
      <c r="K151" s="23" t="s">
        <v>88</v>
      </c>
      <c r="L151" s="23" t="s">
        <v>258</v>
      </c>
      <c r="M151" s="4" t="s">
        <v>18</v>
      </c>
      <c r="N151" s="4"/>
      <c r="O151" s="23" t="s">
        <v>367</v>
      </c>
      <c r="P151" s="28">
        <v>46117</v>
      </c>
      <c r="Q151" s="28">
        <v>46369</v>
      </c>
      <c r="R151" s="4"/>
      <c r="S151" s="4" t="str">
        <f t="shared" ca="1" si="8"/>
        <v>Ongoing</v>
      </c>
      <c r="T151" s="4" t="str">
        <f t="shared" si="9"/>
        <v/>
      </c>
    </row>
    <row r="152" spans="1:20" x14ac:dyDescent="0.25">
      <c r="A152" s="7">
        <v>150</v>
      </c>
      <c r="B152" s="29" t="s">
        <v>244</v>
      </c>
      <c r="C152" s="7">
        <v>7</v>
      </c>
      <c r="D152" s="29" t="s">
        <v>348</v>
      </c>
      <c r="E152" s="7" t="s">
        <v>229</v>
      </c>
      <c r="F152" s="7" t="s">
        <v>199</v>
      </c>
      <c r="G152" s="7">
        <v>780</v>
      </c>
      <c r="H152" s="7">
        <v>1020</v>
      </c>
      <c r="I152" s="7"/>
      <c r="J152" s="29" t="s">
        <v>48</v>
      </c>
      <c r="K152" s="29" t="s">
        <v>88</v>
      </c>
      <c r="L152" s="29" t="s">
        <v>274</v>
      </c>
      <c r="M152" s="7" t="s">
        <v>19</v>
      </c>
      <c r="N152" s="7"/>
      <c r="O152" s="29" t="s">
        <v>360</v>
      </c>
      <c r="P152" s="30">
        <v>46117</v>
      </c>
      <c r="Q152" s="30">
        <v>46285</v>
      </c>
      <c r="R152" s="7"/>
      <c r="S152" s="7" t="str">
        <f t="shared" ca="1" si="8"/>
        <v>Ongoing</v>
      </c>
      <c r="T152" s="7" t="str">
        <f t="shared" si="9"/>
        <v/>
      </c>
    </row>
    <row r="153" spans="1:20" x14ac:dyDescent="0.25">
      <c r="A153" s="4">
        <v>151</v>
      </c>
      <c r="B153" s="23" t="s">
        <v>244</v>
      </c>
      <c r="C153" s="4">
        <v>7</v>
      </c>
      <c r="D153" s="23" t="s">
        <v>331</v>
      </c>
      <c r="E153" s="4" t="s">
        <v>198</v>
      </c>
      <c r="F153" s="4" t="s">
        <v>203</v>
      </c>
      <c r="G153" s="4">
        <v>480</v>
      </c>
      <c r="H153" s="4">
        <v>720</v>
      </c>
      <c r="I153" s="4"/>
      <c r="J153" s="23" t="s">
        <v>49</v>
      </c>
      <c r="K153" s="23" t="s">
        <v>88</v>
      </c>
      <c r="L153" s="23" t="s">
        <v>259</v>
      </c>
      <c r="M153" s="4" t="s">
        <v>18</v>
      </c>
      <c r="N153" s="4"/>
      <c r="O153" s="23" t="s">
        <v>368</v>
      </c>
      <c r="P153" s="28">
        <v>46214</v>
      </c>
      <c r="Q153" s="28">
        <v>46326</v>
      </c>
      <c r="R153" s="4"/>
      <c r="S153" s="4" t="str">
        <f t="shared" ca="1" si="8"/>
        <v>Ongoing</v>
      </c>
      <c r="T153" s="4" t="str">
        <f t="shared" si="9"/>
        <v/>
      </c>
    </row>
    <row r="154" spans="1:20" x14ac:dyDescent="0.25">
      <c r="A154" s="7">
        <v>152</v>
      </c>
      <c r="B154" s="29" t="s">
        <v>244</v>
      </c>
      <c r="C154" s="7">
        <v>7</v>
      </c>
      <c r="D154" s="29" t="s">
        <v>348</v>
      </c>
      <c r="E154" s="7" t="s">
        <v>229</v>
      </c>
      <c r="F154" s="7" t="s">
        <v>199</v>
      </c>
      <c r="G154" s="7">
        <v>780</v>
      </c>
      <c r="H154" s="7">
        <v>1020</v>
      </c>
      <c r="I154" s="7"/>
      <c r="J154" s="29" t="s">
        <v>49</v>
      </c>
      <c r="K154" s="29" t="s">
        <v>88</v>
      </c>
      <c r="L154" s="29" t="s">
        <v>265</v>
      </c>
      <c r="M154" s="7" t="s">
        <v>18</v>
      </c>
      <c r="N154" s="7"/>
      <c r="O154" s="29" t="s">
        <v>364</v>
      </c>
      <c r="P154" s="30"/>
      <c r="Q154" s="30"/>
      <c r="R154" s="32" t="s">
        <v>332</v>
      </c>
      <c r="S154" s="7" t="str">
        <f t="shared" ca="1" si="8"/>
        <v>Unknown (missing duration data)</v>
      </c>
      <c r="T154" s="7" t="str">
        <f t="shared" si="9"/>
        <v/>
      </c>
    </row>
    <row r="155" spans="1:20" x14ac:dyDescent="0.25">
      <c r="A155" s="4">
        <v>153</v>
      </c>
      <c r="B155" s="23" t="s">
        <v>244</v>
      </c>
      <c r="C155" s="4">
        <v>7</v>
      </c>
      <c r="D155" s="23" t="s">
        <v>331</v>
      </c>
      <c r="E155" s="4" t="s">
        <v>198</v>
      </c>
      <c r="F155" s="4" t="s">
        <v>203</v>
      </c>
      <c r="G155" s="4">
        <v>480</v>
      </c>
      <c r="H155" s="4">
        <v>720</v>
      </c>
      <c r="I155" s="4"/>
      <c r="J155" s="23" t="s">
        <v>50</v>
      </c>
      <c r="K155" s="23" t="s">
        <v>88</v>
      </c>
      <c r="L155" s="23" t="s">
        <v>260</v>
      </c>
      <c r="M155" s="4" t="s">
        <v>19</v>
      </c>
      <c r="N155" s="4"/>
      <c r="O155" s="23"/>
      <c r="P155" s="28"/>
      <c r="Q155" s="28"/>
      <c r="R155" s="31" t="s">
        <v>332</v>
      </c>
      <c r="S155" s="4" t="str">
        <f t="shared" ca="1" si="8"/>
        <v>Unknown (missing duration data)</v>
      </c>
      <c r="T155" s="4" t="str">
        <f t="shared" si="9"/>
        <v/>
      </c>
    </row>
    <row r="156" spans="1:20" x14ac:dyDescent="0.25">
      <c r="A156" s="7">
        <v>154</v>
      </c>
      <c r="B156" s="29" t="s">
        <v>244</v>
      </c>
      <c r="C156" s="7">
        <v>7</v>
      </c>
      <c r="D156" s="29" t="s">
        <v>348</v>
      </c>
      <c r="E156" s="7" t="s">
        <v>229</v>
      </c>
      <c r="F156" s="7" t="s">
        <v>199</v>
      </c>
      <c r="G156" s="7">
        <v>780</v>
      </c>
      <c r="H156" s="7">
        <v>1020</v>
      </c>
      <c r="I156" s="7"/>
      <c r="J156" s="29" t="s">
        <v>50</v>
      </c>
      <c r="K156" s="29" t="s">
        <v>88</v>
      </c>
      <c r="L156" s="29" t="s">
        <v>275</v>
      </c>
      <c r="M156" s="7" t="s">
        <v>18</v>
      </c>
      <c r="N156" s="7"/>
      <c r="O156" s="29"/>
      <c r="P156" s="30"/>
      <c r="Q156" s="30"/>
      <c r="R156" s="32" t="s">
        <v>332</v>
      </c>
      <c r="S156" s="7" t="str">
        <f t="shared" ca="1" si="8"/>
        <v>Unknown (missing duration data)</v>
      </c>
      <c r="T156" s="7" t="str">
        <f t="shared" si="9"/>
        <v/>
      </c>
    </row>
    <row r="157" spans="1:20" x14ac:dyDescent="0.25">
      <c r="A157" s="4">
        <v>155</v>
      </c>
      <c r="B157" s="23" t="s">
        <v>244</v>
      </c>
      <c r="C157" s="4">
        <v>7</v>
      </c>
      <c r="D157" s="23" t="s">
        <v>331</v>
      </c>
      <c r="E157" s="4" t="s">
        <v>198</v>
      </c>
      <c r="F157" s="4" t="s">
        <v>203</v>
      </c>
      <c r="G157" s="4">
        <v>480</v>
      </c>
      <c r="H157" s="4">
        <v>720</v>
      </c>
      <c r="I157" s="4"/>
      <c r="J157" s="23" t="s">
        <v>44</v>
      </c>
      <c r="K157" s="23" t="s">
        <v>88</v>
      </c>
      <c r="L157" s="23" t="s">
        <v>253</v>
      </c>
      <c r="M157" s="4" t="s">
        <v>18</v>
      </c>
      <c r="N157" s="4"/>
      <c r="O157" s="23"/>
      <c r="P157" s="28"/>
      <c r="Q157" s="28"/>
      <c r="R157" s="31" t="s">
        <v>332</v>
      </c>
      <c r="S157" s="4" t="str">
        <f t="shared" ca="1" si="8"/>
        <v>Unknown (missing duration data)</v>
      </c>
      <c r="T157" s="4" t="str">
        <f t="shared" si="9"/>
        <v/>
      </c>
    </row>
    <row r="158" spans="1:20" x14ac:dyDescent="0.25">
      <c r="A158" s="7">
        <v>156</v>
      </c>
      <c r="B158" s="29" t="s">
        <v>244</v>
      </c>
      <c r="C158" s="7">
        <v>7</v>
      </c>
      <c r="D158" s="29" t="s">
        <v>347</v>
      </c>
      <c r="E158" s="7" t="s">
        <v>201</v>
      </c>
      <c r="F158" s="7" t="s">
        <v>199</v>
      </c>
      <c r="G158" s="7">
        <v>900</v>
      </c>
      <c r="H158" s="7">
        <v>1020</v>
      </c>
      <c r="I158" s="7"/>
      <c r="J158" s="29" t="s">
        <v>44</v>
      </c>
      <c r="K158" s="29" t="s">
        <v>88</v>
      </c>
      <c r="L158" s="29" t="s">
        <v>279</v>
      </c>
      <c r="M158" s="7" t="s">
        <v>18</v>
      </c>
      <c r="N158" s="7"/>
      <c r="O158" s="29" t="s">
        <v>368</v>
      </c>
      <c r="P158" s="30">
        <v>46214</v>
      </c>
      <c r="Q158" s="30">
        <v>46326</v>
      </c>
      <c r="R158" s="7"/>
      <c r="S158" s="7" t="str">
        <f t="shared" ca="1" si="8"/>
        <v>Ongoing</v>
      </c>
      <c r="T158" s="7" t="str">
        <f t="shared" si="9"/>
        <v/>
      </c>
    </row>
    <row r="159" spans="1:20" x14ac:dyDescent="0.25">
      <c r="A159" s="4">
        <v>157</v>
      </c>
      <c r="B159" s="23" t="s">
        <v>244</v>
      </c>
      <c r="C159" s="4">
        <v>7</v>
      </c>
      <c r="D159" s="23" t="s">
        <v>331</v>
      </c>
      <c r="E159" s="4" t="s">
        <v>198</v>
      </c>
      <c r="F159" s="4" t="s">
        <v>203</v>
      </c>
      <c r="G159" s="4">
        <v>480</v>
      </c>
      <c r="H159" s="4">
        <v>720</v>
      </c>
      <c r="I159" s="4"/>
      <c r="J159" s="23" t="s">
        <v>46</v>
      </c>
      <c r="K159" s="23" t="s">
        <v>88</v>
      </c>
      <c r="L159" s="23" t="s">
        <v>256</v>
      </c>
      <c r="M159" s="4" t="s">
        <v>18</v>
      </c>
      <c r="N159" s="4"/>
      <c r="O159" s="23" t="s">
        <v>360</v>
      </c>
      <c r="P159" s="28">
        <v>46117</v>
      </c>
      <c r="Q159" s="28">
        <v>46285</v>
      </c>
      <c r="R159" s="4"/>
      <c r="S159" s="4" t="str">
        <f t="shared" ca="1" si="8"/>
        <v>Ongoing</v>
      </c>
      <c r="T159" s="4" t="str">
        <f t="shared" si="9"/>
        <v/>
      </c>
    </row>
    <row r="160" spans="1:20" x14ac:dyDescent="0.25">
      <c r="A160" s="7">
        <v>158</v>
      </c>
      <c r="B160" s="29" t="s">
        <v>244</v>
      </c>
      <c r="C160" s="7">
        <v>7</v>
      </c>
      <c r="D160" s="29" t="s">
        <v>347</v>
      </c>
      <c r="E160" s="7" t="s">
        <v>201</v>
      </c>
      <c r="F160" s="7" t="s">
        <v>199</v>
      </c>
      <c r="G160" s="7">
        <v>900</v>
      </c>
      <c r="H160" s="7">
        <v>1020</v>
      </c>
      <c r="I160" s="7"/>
      <c r="J160" s="29" t="s">
        <v>46</v>
      </c>
      <c r="K160" s="29" t="s">
        <v>88</v>
      </c>
      <c r="L160" s="29" t="s">
        <v>257</v>
      </c>
      <c r="M160" s="7" t="s">
        <v>18</v>
      </c>
      <c r="N160" s="7"/>
      <c r="O160" s="29" t="s">
        <v>360</v>
      </c>
      <c r="P160" s="30">
        <v>46117</v>
      </c>
      <c r="Q160" s="30">
        <v>46285</v>
      </c>
      <c r="R160" s="7"/>
      <c r="S160" s="7" t="str">
        <f t="shared" ca="1" si="8"/>
        <v>Ongoing</v>
      </c>
      <c r="T160" s="7" t="str">
        <f t="shared" si="9"/>
        <v/>
      </c>
    </row>
    <row r="161" spans="1:20" x14ac:dyDescent="0.25">
      <c r="A161" s="4">
        <v>159</v>
      </c>
      <c r="B161" s="23" t="s">
        <v>244</v>
      </c>
      <c r="C161" s="4">
        <v>7</v>
      </c>
      <c r="D161" s="23" t="s">
        <v>331</v>
      </c>
      <c r="E161" s="4" t="s">
        <v>198</v>
      </c>
      <c r="F161" s="4" t="s">
        <v>203</v>
      </c>
      <c r="G161" s="4">
        <v>480</v>
      </c>
      <c r="H161" s="4">
        <v>720</v>
      </c>
      <c r="I161" s="4"/>
      <c r="J161" s="23" t="s">
        <v>47</v>
      </c>
      <c r="K161" s="23" t="s">
        <v>88</v>
      </c>
      <c r="L161" s="23" t="s">
        <v>257</v>
      </c>
      <c r="M161" s="4" t="s">
        <v>18</v>
      </c>
      <c r="N161" s="4"/>
      <c r="O161" s="23" t="s">
        <v>360</v>
      </c>
      <c r="P161" s="28">
        <v>46117</v>
      </c>
      <c r="Q161" s="28">
        <v>46285</v>
      </c>
      <c r="R161" s="4"/>
      <c r="S161" s="4" t="str">
        <f t="shared" ca="1" si="8"/>
        <v>Ongoing</v>
      </c>
      <c r="T161" s="4" t="str">
        <f t="shared" si="9"/>
        <v/>
      </c>
    </row>
    <row r="162" spans="1:20" x14ac:dyDescent="0.25">
      <c r="A162" s="7">
        <v>160</v>
      </c>
      <c r="B162" s="29" t="s">
        <v>244</v>
      </c>
      <c r="C162" s="7">
        <v>7</v>
      </c>
      <c r="D162" s="29" t="s">
        <v>347</v>
      </c>
      <c r="E162" s="7" t="s">
        <v>201</v>
      </c>
      <c r="F162" s="7" t="s">
        <v>199</v>
      </c>
      <c r="G162" s="7">
        <v>900</v>
      </c>
      <c r="H162" s="7">
        <v>1020</v>
      </c>
      <c r="I162" s="7"/>
      <c r="J162" s="29" t="s">
        <v>47</v>
      </c>
      <c r="K162" s="29" t="s">
        <v>88</v>
      </c>
      <c r="L162" s="29" t="s">
        <v>280</v>
      </c>
      <c r="M162" s="7"/>
      <c r="N162" s="32" t="s">
        <v>332</v>
      </c>
      <c r="O162" s="29"/>
      <c r="P162" s="30"/>
      <c r="Q162" s="30"/>
      <c r="R162" s="32" t="s">
        <v>332</v>
      </c>
      <c r="S162" s="7" t="str">
        <f t="shared" ca="1" si="8"/>
        <v>Unknown (missing duration data)</v>
      </c>
      <c r="T162" s="7" t="str">
        <f t="shared" si="9"/>
        <v/>
      </c>
    </row>
    <row r="163" spans="1:20" x14ac:dyDescent="0.25">
      <c r="A163" s="4">
        <v>161</v>
      </c>
      <c r="B163" s="23" t="s">
        <v>244</v>
      </c>
      <c r="C163" s="4">
        <v>7</v>
      </c>
      <c r="D163" s="23" t="s">
        <v>369</v>
      </c>
      <c r="E163" s="4" t="s">
        <v>209</v>
      </c>
      <c r="F163" s="4" t="s">
        <v>201</v>
      </c>
      <c r="G163" s="4">
        <v>600</v>
      </c>
      <c r="H163" s="4">
        <v>900</v>
      </c>
      <c r="I163" s="4"/>
      <c r="J163" s="23" t="s">
        <v>42</v>
      </c>
      <c r="K163" s="23" t="s">
        <v>88</v>
      </c>
      <c r="L163" s="23" t="s">
        <v>270</v>
      </c>
      <c r="M163" s="4" t="s">
        <v>18</v>
      </c>
      <c r="N163" s="4"/>
      <c r="O163" s="23" t="s">
        <v>370</v>
      </c>
      <c r="P163" s="28">
        <v>46229</v>
      </c>
      <c r="Q163" s="28">
        <v>46397</v>
      </c>
      <c r="R163" s="4"/>
      <c r="S163" s="4" t="str">
        <f t="shared" ca="1" si="8"/>
        <v>Ongoing</v>
      </c>
      <c r="T163" s="4" t="str">
        <f t="shared" si="9"/>
        <v/>
      </c>
    </row>
    <row r="164" spans="1:20" x14ac:dyDescent="0.25">
      <c r="A164" s="7">
        <v>162</v>
      </c>
      <c r="B164" s="29" t="s">
        <v>244</v>
      </c>
      <c r="C164" s="7">
        <v>7</v>
      </c>
      <c r="D164" s="29" t="s">
        <v>371</v>
      </c>
      <c r="E164" s="7" t="s">
        <v>209</v>
      </c>
      <c r="F164" s="7" t="s">
        <v>271</v>
      </c>
      <c r="G164" s="7">
        <v>600</v>
      </c>
      <c r="H164" s="7">
        <v>0</v>
      </c>
      <c r="I164" s="32"/>
      <c r="J164" s="29" t="s">
        <v>43</v>
      </c>
      <c r="K164" s="29" t="s">
        <v>88</v>
      </c>
      <c r="L164" s="29" t="s">
        <v>272</v>
      </c>
      <c r="M164" s="7" t="s">
        <v>18</v>
      </c>
      <c r="N164" s="7"/>
      <c r="O164" s="29"/>
      <c r="P164" s="30"/>
      <c r="Q164" s="30"/>
      <c r="R164" s="32" t="s">
        <v>332</v>
      </c>
      <c r="S164" s="7" t="str">
        <f t="shared" ca="1" si="8"/>
        <v>Unknown (missing duration data)</v>
      </c>
      <c r="T164" s="7" t="str">
        <f t="shared" si="9"/>
        <v/>
      </c>
    </row>
    <row r="165" spans="1:20" x14ac:dyDescent="0.25">
      <c r="A165" s="4">
        <v>163</v>
      </c>
      <c r="B165" s="23" t="s">
        <v>244</v>
      </c>
      <c r="C165" s="4">
        <v>7</v>
      </c>
      <c r="D165" s="23" t="s">
        <v>372</v>
      </c>
      <c r="E165" s="4" t="s">
        <v>245</v>
      </c>
      <c r="F165" s="4" t="s">
        <v>199</v>
      </c>
      <c r="G165" s="4">
        <v>180</v>
      </c>
      <c r="H165" s="4">
        <v>1020</v>
      </c>
      <c r="I165" s="31"/>
      <c r="J165" s="23" t="s">
        <v>43</v>
      </c>
      <c r="K165" s="23" t="s">
        <v>88</v>
      </c>
      <c r="L165" s="23" t="s">
        <v>246</v>
      </c>
      <c r="M165" s="4" t="s">
        <v>20</v>
      </c>
      <c r="N165" s="4"/>
      <c r="O165" s="23"/>
      <c r="P165" s="28"/>
      <c r="Q165" s="28"/>
      <c r="R165" s="31" t="s">
        <v>332</v>
      </c>
      <c r="S165" s="4" t="str">
        <f t="shared" ca="1" si="8"/>
        <v>Unknown (missing duration data)</v>
      </c>
      <c r="T165" s="4" t="str">
        <f t="shared" si="9"/>
        <v/>
      </c>
    </row>
    <row r="167" spans="1:20" x14ac:dyDescent="0.2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</row>
  </sheetData>
  <mergeCells count="2">
    <mergeCell ref="A1:T1"/>
    <mergeCell ref="A167:T167"/>
  </mergeCells>
  <conditionalFormatting sqref="S3:S165">
    <cfRule type="expression" dxfId="3" priority="3">
      <formula>S3="Completed"</formula>
    </cfRule>
    <cfRule type="expression" dxfId="2" priority="4">
      <formula>S3="Ongoing"</formula>
    </cfRule>
    <cfRule type="expression" dxfId="1" priority="5">
      <formula>ISNUMBER(SEARCH("Unknown",S3))</formula>
    </cfRule>
  </conditionalFormatting>
  <conditionalFormatting sqref="T3:T165">
    <cfRule type="expression" dxfId="0" priority="2">
      <formula>T3="CONFLICT"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/>
  <dimension ref="A1:AB166"/>
  <sheetViews>
    <sheetView showGridLines="0"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4" sqref="I4"/>
    </sheetView>
  </sheetViews>
  <sheetFormatPr defaultColWidth="8.7109375" defaultRowHeight="15" x14ac:dyDescent="0.25"/>
  <cols>
    <col min="1" max="1" width="6" customWidth="1"/>
    <col min="2" max="2" width="8" customWidth="1"/>
    <col min="3" max="3" width="16" customWidth="1"/>
    <col min="4" max="4" width="10" customWidth="1"/>
    <col min="5" max="6" width="12" customWidth="1"/>
    <col min="7" max="28" width="10" customWidth="1"/>
  </cols>
  <sheetData>
    <row r="1" spans="1:28" ht="15.75" customHeight="1" x14ac:dyDescent="0.25">
      <c r="A1" s="73" t="s">
        <v>373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</row>
    <row r="2" spans="1:28" x14ac:dyDescent="0.25">
      <c r="A2" s="74" t="s">
        <v>374</v>
      </c>
      <c r="B2" s="74"/>
      <c r="C2" s="74"/>
      <c r="D2" s="74"/>
      <c r="E2" s="74"/>
      <c r="F2" s="74"/>
      <c r="G2" s="34">
        <v>45962</v>
      </c>
      <c r="H2" s="34">
        <v>45992</v>
      </c>
      <c r="I2" s="34">
        <v>46023</v>
      </c>
      <c r="J2" s="34">
        <v>46054</v>
      </c>
      <c r="K2" s="34">
        <v>46082</v>
      </c>
      <c r="L2" s="34">
        <v>46113</v>
      </c>
      <c r="M2" s="34">
        <v>46143</v>
      </c>
      <c r="N2" s="34">
        <v>46174</v>
      </c>
      <c r="O2" s="34">
        <v>46204</v>
      </c>
      <c r="P2" s="34">
        <v>46235</v>
      </c>
      <c r="Q2" s="34">
        <v>46266</v>
      </c>
      <c r="R2" s="34">
        <v>46296</v>
      </c>
      <c r="S2" s="34">
        <v>46327</v>
      </c>
      <c r="T2" s="34">
        <v>46357</v>
      </c>
      <c r="U2" s="34">
        <v>46388</v>
      </c>
      <c r="V2" s="34">
        <v>46419</v>
      </c>
      <c r="W2" s="34">
        <v>46447</v>
      </c>
      <c r="X2" s="34">
        <v>46478</v>
      </c>
      <c r="Y2" s="34">
        <v>46508</v>
      </c>
      <c r="Z2" s="34">
        <v>46539</v>
      </c>
      <c r="AA2" s="34">
        <v>46569</v>
      </c>
      <c r="AB2" s="34">
        <v>46600</v>
      </c>
    </row>
    <row r="3" spans="1:28" x14ac:dyDescent="0.25">
      <c r="A3" s="35" t="s">
        <v>282</v>
      </c>
      <c r="B3" s="35" t="s">
        <v>375</v>
      </c>
      <c r="C3" s="35" t="s">
        <v>33</v>
      </c>
      <c r="D3" s="35" t="s">
        <v>15</v>
      </c>
      <c r="E3" s="35" t="s">
        <v>292</v>
      </c>
      <c r="F3" s="35" t="s">
        <v>293</v>
      </c>
      <c r="G3" s="36">
        <f t="shared" ref="G3:AB3" si="0">EOMONTH(G2,0)</f>
        <v>45991</v>
      </c>
      <c r="H3" s="36">
        <f t="shared" si="0"/>
        <v>46022</v>
      </c>
      <c r="I3" s="36">
        <f t="shared" si="0"/>
        <v>46053</v>
      </c>
      <c r="J3" s="36">
        <f t="shared" si="0"/>
        <v>46081</v>
      </c>
      <c r="K3" s="36">
        <f t="shared" si="0"/>
        <v>46112</v>
      </c>
      <c r="L3" s="36">
        <f t="shared" si="0"/>
        <v>46142</v>
      </c>
      <c r="M3" s="36">
        <f t="shared" si="0"/>
        <v>46173</v>
      </c>
      <c r="N3" s="36">
        <f t="shared" si="0"/>
        <v>46203</v>
      </c>
      <c r="O3" s="36">
        <f t="shared" si="0"/>
        <v>46234</v>
      </c>
      <c r="P3" s="36">
        <f t="shared" si="0"/>
        <v>46265</v>
      </c>
      <c r="Q3" s="36">
        <f t="shared" si="0"/>
        <v>46295</v>
      </c>
      <c r="R3" s="36">
        <f t="shared" si="0"/>
        <v>46326</v>
      </c>
      <c r="S3" s="36">
        <f t="shared" si="0"/>
        <v>46356</v>
      </c>
      <c r="T3" s="36">
        <f t="shared" si="0"/>
        <v>46387</v>
      </c>
      <c r="U3" s="36">
        <f t="shared" si="0"/>
        <v>46418</v>
      </c>
      <c r="V3" s="36">
        <f t="shared" si="0"/>
        <v>46446</v>
      </c>
      <c r="W3" s="36">
        <f t="shared" si="0"/>
        <v>46477</v>
      </c>
      <c r="X3" s="36">
        <f t="shared" si="0"/>
        <v>46507</v>
      </c>
      <c r="Y3" s="36">
        <f t="shared" si="0"/>
        <v>46538</v>
      </c>
      <c r="Z3" s="36">
        <f t="shared" si="0"/>
        <v>46568</v>
      </c>
      <c r="AA3" s="36">
        <f t="shared" si="0"/>
        <v>46599</v>
      </c>
      <c r="AB3" s="36">
        <f t="shared" si="0"/>
        <v>46630</v>
      </c>
    </row>
    <row r="4" spans="1:28" x14ac:dyDescent="0.25">
      <c r="A4" s="4">
        <f>'Class Schedule Analysis'!A3</f>
        <v>1</v>
      </c>
      <c r="B4" s="4">
        <f>'Class Schedule Analysis'!C3</f>
        <v>1</v>
      </c>
      <c r="C4" s="23" t="str">
        <f>'Class Schedule Analysis'!J3</f>
        <v>WEST 101</v>
      </c>
      <c r="D4" s="4" t="str">
        <f>'Class Schedule Analysis'!M3</f>
        <v>Physical</v>
      </c>
      <c r="E4" s="28">
        <f>'Class Schedule Analysis'!P3</f>
        <v>46216</v>
      </c>
      <c r="F4" s="28">
        <f>'Class Schedule Analysis'!Q3</f>
        <v>46370</v>
      </c>
      <c r="G4" s="4">
        <f t="shared" ref="G4:P13" si="1">IF(OR($E4="",$F4=""),0,IF(MAX($E4,G$2)&gt;MIN($F4,G$3),0,INT((MIN($F4,G$3)-(MAX($E4,G$2)+MOD($B4-WEEKDAY(MAX($E4,G$2),2),7)))/7)+1))</f>
        <v>0</v>
      </c>
      <c r="H4" s="4">
        <f t="shared" si="1"/>
        <v>0</v>
      </c>
      <c r="I4" s="4">
        <f t="shared" si="1"/>
        <v>0</v>
      </c>
      <c r="J4" s="4">
        <f t="shared" si="1"/>
        <v>0</v>
      </c>
      <c r="K4" s="4">
        <f t="shared" si="1"/>
        <v>0</v>
      </c>
      <c r="L4" s="4">
        <f t="shared" si="1"/>
        <v>0</v>
      </c>
      <c r="M4" s="4">
        <f t="shared" si="1"/>
        <v>0</v>
      </c>
      <c r="N4" s="4">
        <f t="shared" si="1"/>
        <v>0</v>
      </c>
      <c r="O4" s="4">
        <f t="shared" si="1"/>
        <v>3</v>
      </c>
      <c r="P4" s="4">
        <f t="shared" si="1"/>
        <v>5</v>
      </c>
      <c r="Q4" s="4">
        <f t="shared" ref="Q4:AB13" si="2">IF(OR($E4="",$F4=""),0,IF(MAX($E4,Q$2)&gt;MIN($F4,Q$3),0,INT((MIN($F4,Q$3)-(MAX($E4,Q$2)+MOD($B4-WEEKDAY(MAX($E4,Q$2),2),7)))/7)+1))</f>
        <v>4</v>
      </c>
      <c r="R4" s="4">
        <f t="shared" si="2"/>
        <v>4</v>
      </c>
      <c r="S4" s="4">
        <f t="shared" si="2"/>
        <v>5</v>
      </c>
      <c r="T4" s="4">
        <f t="shared" si="2"/>
        <v>2</v>
      </c>
      <c r="U4" s="4">
        <f t="shared" si="2"/>
        <v>0</v>
      </c>
      <c r="V4" s="4">
        <f t="shared" si="2"/>
        <v>0</v>
      </c>
      <c r="W4" s="4">
        <f t="shared" si="2"/>
        <v>0</v>
      </c>
      <c r="X4" s="4">
        <f t="shared" si="2"/>
        <v>0</v>
      </c>
      <c r="Y4" s="4">
        <f t="shared" si="2"/>
        <v>0</v>
      </c>
      <c r="Z4" s="4">
        <f t="shared" si="2"/>
        <v>0</v>
      </c>
      <c r="AA4" s="4">
        <f t="shared" si="2"/>
        <v>0</v>
      </c>
      <c r="AB4" s="4">
        <f t="shared" si="2"/>
        <v>0</v>
      </c>
    </row>
    <row r="5" spans="1:28" x14ac:dyDescent="0.25">
      <c r="A5" s="7">
        <f>'Class Schedule Analysis'!A4</f>
        <v>2</v>
      </c>
      <c r="B5" s="7">
        <f>'Class Schedule Analysis'!C4</f>
        <v>1</v>
      </c>
      <c r="C5" s="29" t="str">
        <f>'Class Schedule Analysis'!J4</f>
        <v>TECH 002</v>
      </c>
      <c r="D5" s="7" t="str">
        <f>'Class Schedule Analysis'!M4</f>
        <v>Physical</v>
      </c>
      <c r="E5" s="30">
        <f>'Class Schedule Analysis'!P4</f>
        <v>46139</v>
      </c>
      <c r="F5" s="30">
        <f>'Class Schedule Analysis'!Q4</f>
        <v>46261</v>
      </c>
      <c r="G5" s="7">
        <f t="shared" si="1"/>
        <v>0</v>
      </c>
      <c r="H5" s="7">
        <f t="shared" si="1"/>
        <v>0</v>
      </c>
      <c r="I5" s="7">
        <f t="shared" si="1"/>
        <v>0</v>
      </c>
      <c r="J5" s="7">
        <f t="shared" si="1"/>
        <v>0</v>
      </c>
      <c r="K5" s="7">
        <f t="shared" si="1"/>
        <v>0</v>
      </c>
      <c r="L5" s="7">
        <f t="shared" si="1"/>
        <v>1</v>
      </c>
      <c r="M5" s="7">
        <f t="shared" si="1"/>
        <v>4</v>
      </c>
      <c r="N5" s="7">
        <f t="shared" si="1"/>
        <v>5</v>
      </c>
      <c r="O5" s="7">
        <f t="shared" si="1"/>
        <v>4</v>
      </c>
      <c r="P5" s="7">
        <f t="shared" si="1"/>
        <v>4</v>
      </c>
      <c r="Q5" s="7">
        <f t="shared" si="2"/>
        <v>0</v>
      </c>
      <c r="R5" s="7">
        <f t="shared" si="2"/>
        <v>0</v>
      </c>
      <c r="S5" s="7">
        <f t="shared" si="2"/>
        <v>0</v>
      </c>
      <c r="T5" s="7">
        <f t="shared" si="2"/>
        <v>0</v>
      </c>
      <c r="U5" s="7">
        <f t="shared" si="2"/>
        <v>0</v>
      </c>
      <c r="V5" s="7">
        <f t="shared" si="2"/>
        <v>0</v>
      </c>
      <c r="W5" s="7">
        <f t="shared" si="2"/>
        <v>0</v>
      </c>
      <c r="X5" s="7">
        <f t="shared" si="2"/>
        <v>0</v>
      </c>
      <c r="Y5" s="7">
        <f t="shared" si="2"/>
        <v>0</v>
      </c>
      <c r="Z5" s="7">
        <f t="shared" si="2"/>
        <v>0</v>
      </c>
      <c r="AA5" s="7">
        <f t="shared" si="2"/>
        <v>0</v>
      </c>
      <c r="AB5" s="7">
        <f t="shared" si="2"/>
        <v>0</v>
      </c>
    </row>
    <row r="6" spans="1:28" x14ac:dyDescent="0.25">
      <c r="A6" s="4">
        <f>'Class Schedule Analysis'!A5</f>
        <v>3</v>
      </c>
      <c r="B6" s="4">
        <f>'Class Schedule Analysis'!C5</f>
        <v>1</v>
      </c>
      <c r="C6" s="23" t="str">
        <f>'Class Schedule Analysis'!J5</f>
        <v>WEST 004</v>
      </c>
      <c r="D6" s="4" t="str">
        <f>'Class Schedule Analysis'!M5</f>
        <v>Physical</v>
      </c>
      <c r="E6" s="28">
        <f>'Class Schedule Analysis'!P5</f>
        <v>46216</v>
      </c>
      <c r="F6" s="28">
        <f>'Class Schedule Analysis'!Q5</f>
        <v>46328</v>
      </c>
      <c r="G6" s="4">
        <f t="shared" si="1"/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3</v>
      </c>
      <c r="P6" s="4">
        <f t="shared" si="1"/>
        <v>5</v>
      </c>
      <c r="Q6" s="4">
        <f t="shared" si="2"/>
        <v>4</v>
      </c>
      <c r="R6" s="4">
        <f t="shared" si="2"/>
        <v>4</v>
      </c>
      <c r="S6" s="4">
        <f t="shared" si="2"/>
        <v>1</v>
      </c>
      <c r="T6" s="4">
        <f t="shared" si="2"/>
        <v>0</v>
      </c>
      <c r="U6" s="4">
        <f t="shared" si="2"/>
        <v>0</v>
      </c>
      <c r="V6" s="4">
        <f t="shared" si="2"/>
        <v>0</v>
      </c>
      <c r="W6" s="4">
        <f t="shared" si="2"/>
        <v>0</v>
      </c>
      <c r="X6" s="4">
        <f t="shared" si="2"/>
        <v>0</v>
      </c>
      <c r="Y6" s="4">
        <f t="shared" si="2"/>
        <v>0</v>
      </c>
      <c r="Z6" s="4">
        <f t="shared" si="2"/>
        <v>0</v>
      </c>
      <c r="AA6" s="4">
        <f t="shared" si="2"/>
        <v>0</v>
      </c>
      <c r="AB6" s="4">
        <f t="shared" si="2"/>
        <v>0</v>
      </c>
    </row>
    <row r="7" spans="1:28" x14ac:dyDescent="0.25">
      <c r="A7" s="7">
        <f>'Class Schedule Analysis'!A6</f>
        <v>4</v>
      </c>
      <c r="B7" s="7">
        <f>'Class Schedule Analysis'!C6</f>
        <v>1</v>
      </c>
      <c r="C7" s="29" t="str">
        <f>'Class Schedule Analysis'!J6</f>
        <v>WEST 005</v>
      </c>
      <c r="D7" s="7" t="str">
        <f>'Class Schedule Analysis'!M6</f>
        <v>Physical</v>
      </c>
      <c r="E7" s="30">
        <f>'Class Schedule Analysis'!P6</f>
        <v>46139</v>
      </c>
      <c r="F7" s="30">
        <f>'Class Schedule Analysis'!Q6</f>
        <v>46314</v>
      </c>
      <c r="G7" s="7">
        <f t="shared" si="1"/>
        <v>0</v>
      </c>
      <c r="H7" s="7">
        <f t="shared" si="1"/>
        <v>0</v>
      </c>
      <c r="I7" s="7">
        <f t="shared" si="1"/>
        <v>0</v>
      </c>
      <c r="J7" s="7">
        <f t="shared" si="1"/>
        <v>0</v>
      </c>
      <c r="K7" s="7">
        <f t="shared" si="1"/>
        <v>0</v>
      </c>
      <c r="L7" s="7">
        <f t="shared" si="1"/>
        <v>1</v>
      </c>
      <c r="M7" s="7">
        <f t="shared" si="1"/>
        <v>4</v>
      </c>
      <c r="N7" s="7">
        <f t="shared" si="1"/>
        <v>5</v>
      </c>
      <c r="O7" s="7">
        <f t="shared" si="1"/>
        <v>4</v>
      </c>
      <c r="P7" s="7">
        <f t="shared" si="1"/>
        <v>5</v>
      </c>
      <c r="Q7" s="7">
        <f t="shared" si="2"/>
        <v>4</v>
      </c>
      <c r="R7" s="7">
        <f t="shared" si="2"/>
        <v>3</v>
      </c>
      <c r="S7" s="7">
        <f t="shared" si="2"/>
        <v>0</v>
      </c>
      <c r="T7" s="7">
        <f t="shared" si="2"/>
        <v>0</v>
      </c>
      <c r="U7" s="7">
        <f t="shared" si="2"/>
        <v>0</v>
      </c>
      <c r="V7" s="7">
        <f t="shared" si="2"/>
        <v>0</v>
      </c>
      <c r="W7" s="7">
        <f t="shared" si="2"/>
        <v>0</v>
      </c>
      <c r="X7" s="7">
        <f t="shared" si="2"/>
        <v>0</v>
      </c>
      <c r="Y7" s="7">
        <f t="shared" si="2"/>
        <v>0</v>
      </c>
      <c r="Z7" s="7">
        <f t="shared" si="2"/>
        <v>0</v>
      </c>
      <c r="AA7" s="7">
        <f t="shared" si="2"/>
        <v>0</v>
      </c>
      <c r="AB7" s="7">
        <f t="shared" si="2"/>
        <v>0</v>
      </c>
    </row>
    <row r="8" spans="1:28" x14ac:dyDescent="0.25">
      <c r="A8" s="4">
        <f>'Class Schedule Analysis'!A7</f>
        <v>5</v>
      </c>
      <c r="B8" s="4">
        <f>'Class Schedule Analysis'!C7</f>
        <v>1</v>
      </c>
      <c r="C8" s="23" t="str">
        <f>'Class Schedule Analysis'!J7</f>
        <v>TECH 001</v>
      </c>
      <c r="D8" s="4" t="str">
        <f>'Class Schedule Analysis'!M7</f>
        <v>Physical</v>
      </c>
      <c r="E8" s="28">
        <f>'Class Schedule Analysis'!P7</f>
        <v>46210</v>
      </c>
      <c r="F8" s="28">
        <f>'Class Schedule Analysis'!Q7</f>
        <v>46346</v>
      </c>
      <c r="G8" s="4">
        <f t="shared" si="1"/>
        <v>0</v>
      </c>
      <c r="H8" s="4">
        <f t="shared" si="1"/>
        <v>0</v>
      </c>
      <c r="I8" s="4">
        <f t="shared" si="1"/>
        <v>0</v>
      </c>
      <c r="J8" s="4">
        <f t="shared" si="1"/>
        <v>0</v>
      </c>
      <c r="K8" s="4">
        <f t="shared" si="1"/>
        <v>0</v>
      </c>
      <c r="L8" s="4">
        <f t="shared" si="1"/>
        <v>0</v>
      </c>
      <c r="M8" s="4">
        <f t="shared" si="1"/>
        <v>0</v>
      </c>
      <c r="N8" s="4">
        <f t="shared" si="1"/>
        <v>0</v>
      </c>
      <c r="O8" s="4">
        <f t="shared" si="1"/>
        <v>3</v>
      </c>
      <c r="P8" s="4">
        <f t="shared" si="1"/>
        <v>5</v>
      </c>
      <c r="Q8" s="4">
        <f t="shared" si="2"/>
        <v>4</v>
      </c>
      <c r="R8" s="4">
        <f t="shared" si="2"/>
        <v>4</v>
      </c>
      <c r="S8" s="4">
        <f t="shared" si="2"/>
        <v>3</v>
      </c>
      <c r="T8" s="4">
        <f t="shared" si="2"/>
        <v>0</v>
      </c>
      <c r="U8" s="4">
        <f t="shared" si="2"/>
        <v>0</v>
      </c>
      <c r="V8" s="4">
        <f t="shared" si="2"/>
        <v>0</v>
      </c>
      <c r="W8" s="4">
        <f t="shared" si="2"/>
        <v>0</v>
      </c>
      <c r="X8" s="4">
        <f t="shared" si="2"/>
        <v>0</v>
      </c>
      <c r="Y8" s="4">
        <f t="shared" si="2"/>
        <v>0</v>
      </c>
      <c r="Z8" s="4">
        <f t="shared" si="2"/>
        <v>0</v>
      </c>
      <c r="AA8" s="4">
        <f t="shared" si="2"/>
        <v>0</v>
      </c>
      <c r="AB8" s="4">
        <f t="shared" si="2"/>
        <v>0</v>
      </c>
    </row>
    <row r="9" spans="1:28" x14ac:dyDescent="0.25">
      <c r="A9" s="7">
        <f>'Class Schedule Analysis'!A8</f>
        <v>6</v>
      </c>
      <c r="B9" s="7">
        <f>'Class Schedule Analysis'!C8</f>
        <v>1</v>
      </c>
      <c r="C9" s="29" t="str">
        <f>'Class Schedule Analysis'!J8</f>
        <v>TECH 003</v>
      </c>
      <c r="D9" s="7" t="str">
        <f>'Class Schedule Analysis'!M8</f>
        <v>Physical</v>
      </c>
      <c r="E9" s="30">
        <f>'Class Schedule Analysis'!P8</f>
        <v>46216</v>
      </c>
      <c r="F9" s="30">
        <f>'Class Schedule Analysis'!Q8</f>
        <v>46370</v>
      </c>
      <c r="G9" s="7">
        <f t="shared" si="1"/>
        <v>0</v>
      </c>
      <c r="H9" s="7">
        <f t="shared" si="1"/>
        <v>0</v>
      </c>
      <c r="I9" s="7">
        <f t="shared" si="1"/>
        <v>0</v>
      </c>
      <c r="J9" s="7">
        <f t="shared" si="1"/>
        <v>0</v>
      </c>
      <c r="K9" s="7">
        <f t="shared" si="1"/>
        <v>0</v>
      </c>
      <c r="L9" s="7">
        <f t="shared" si="1"/>
        <v>0</v>
      </c>
      <c r="M9" s="7">
        <f t="shared" si="1"/>
        <v>0</v>
      </c>
      <c r="N9" s="7">
        <f t="shared" si="1"/>
        <v>0</v>
      </c>
      <c r="O9" s="7">
        <f t="shared" si="1"/>
        <v>3</v>
      </c>
      <c r="P9" s="7">
        <f t="shared" si="1"/>
        <v>5</v>
      </c>
      <c r="Q9" s="7">
        <f t="shared" si="2"/>
        <v>4</v>
      </c>
      <c r="R9" s="7">
        <f t="shared" si="2"/>
        <v>4</v>
      </c>
      <c r="S9" s="7">
        <f t="shared" si="2"/>
        <v>5</v>
      </c>
      <c r="T9" s="7">
        <f t="shared" si="2"/>
        <v>2</v>
      </c>
      <c r="U9" s="7">
        <f t="shared" si="2"/>
        <v>0</v>
      </c>
      <c r="V9" s="7">
        <f t="shared" si="2"/>
        <v>0</v>
      </c>
      <c r="W9" s="7">
        <f t="shared" si="2"/>
        <v>0</v>
      </c>
      <c r="X9" s="7">
        <f t="shared" si="2"/>
        <v>0</v>
      </c>
      <c r="Y9" s="7">
        <f t="shared" si="2"/>
        <v>0</v>
      </c>
      <c r="Z9" s="7">
        <f t="shared" si="2"/>
        <v>0</v>
      </c>
      <c r="AA9" s="7">
        <f t="shared" si="2"/>
        <v>0</v>
      </c>
      <c r="AB9" s="7">
        <f t="shared" si="2"/>
        <v>0</v>
      </c>
    </row>
    <row r="10" spans="1:28" x14ac:dyDescent="0.25">
      <c r="A10" s="4">
        <f>'Class Schedule Analysis'!A9</f>
        <v>7</v>
      </c>
      <c r="B10" s="4">
        <f>'Class Schedule Analysis'!C9</f>
        <v>1</v>
      </c>
      <c r="C10" s="23" t="str">
        <f>'Class Schedule Analysis'!J9</f>
        <v>TECH 004</v>
      </c>
      <c r="D10" s="4" t="str">
        <f>'Class Schedule Analysis'!M9</f>
        <v>Physical</v>
      </c>
      <c r="E10" s="28">
        <f>'Class Schedule Analysis'!P9</f>
        <v>46191</v>
      </c>
      <c r="F10" s="28">
        <f>'Class Schedule Analysis'!Q9</f>
        <v>46323</v>
      </c>
      <c r="G10" s="4">
        <f t="shared" si="1"/>
        <v>0</v>
      </c>
      <c r="H10" s="4">
        <f t="shared" si="1"/>
        <v>0</v>
      </c>
      <c r="I10" s="4">
        <f t="shared" si="1"/>
        <v>0</v>
      </c>
      <c r="J10" s="4">
        <f t="shared" si="1"/>
        <v>0</v>
      </c>
      <c r="K10" s="4">
        <f t="shared" si="1"/>
        <v>0</v>
      </c>
      <c r="L10" s="4">
        <f t="shared" si="1"/>
        <v>0</v>
      </c>
      <c r="M10" s="4">
        <f t="shared" si="1"/>
        <v>0</v>
      </c>
      <c r="N10" s="4">
        <f t="shared" si="1"/>
        <v>2</v>
      </c>
      <c r="O10" s="4">
        <f t="shared" si="1"/>
        <v>4</v>
      </c>
      <c r="P10" s="4">
        <f t="shared" si="1"/>
        <v>5</v>
      </c>
      <c r="Q10" s="4">
        <f t="shared" si="2"/>
        <v>4</v>
      </c>
      <c r="R10" s="4">
        <f t="shared" si="2"/>
        <v>4</v>
      </c>
      <c r="S10" s="4">
        <f t="shared" si="2"/>
        <v>0</v>
      </c>
      <c r="T10" s="4">
        <f t="shared" si="2"/>
        <v>0</v>
      </c>
      <c r="U10" s="4">
        <f t="shared" si="2"/>
        <v>0</v>
      </c>
      <c r="V10" s="4">
        <f t="shared" si="2"/>
        <v>0</v>
      </c>
      <c r="W10" s="4">
        <f t="shared" si="2"/>
        <v>0</v>
      </c>
      <c r="X10" s="4">
        <f t="shared" si="2"/>
        <v>0</v>
      </c>
      <c r="Y10" s="4">
        <f t="shared" si="2"/>
        <v>0</v>
      </c>
      <c r="Z10" s="4">
        <f t="shared" si="2"/>
        <v>0</v>
      </c>
      <c r="AA10" s="4">
        <f t="shared" si="2"/>
        <v>0</v>
      </c>
      <c r="AB10" s="4">
        <f t="shared" si="2"/>
        <v>0</v>
      </c>
    </row>
    <row r="11" spans="1:28" x14ac:dyDescent="0.25">
      <c r="A11" s="7">
        <f>'Class Schedule Analysis'!A10</f>
        <v>8</v>
      </c>
      <c r="B11" s="7">
        <f>'Class Schedule Analysis'!C10</f>
        <v>1</v>
      </c>
      <c r="C11" s="29" t="str">
        <f>'Class Schedule Analysis'!J10</f>
        <v>EAST 305</v>
      </c>
      <c r="D11" s="7" t="str">
        <f>'Class Schedule Analysis'!M10</f>
        <v>Physical</v>
      </c>
      <c r="E11" s="30">
        <f>'Class Schedule Analysis'!P10</f>
        <v>46216</v>
      </c>
      <c r="F11" s="30">
        <f>'Class Schedule Analysis'!Q10</f>
        <v>46630</v>
      </c>
      <c r="G11" s="7">
        <f t="shared" si="1"/>
        <v>0</v>
      </c>
      <c r="H11" s="7">
        <f t="shared" si="1"/>
        <v>0</v>
      </c>
      <c r="I11" s="7">
        <f t="shared" si="1"/>
        <v>0</v>
      </c>
      <c r="J11" s="7">
        <f t="shared" si="1"/>
        <v>0</v>
      </c>
      <c r="K11" s="7">
        <f t="shared" si="1"/>
        <v>0</v>
      </c>
      <c r="L11" s="7">
        <f t="shared" si="1"/>
        <v>0</v>
      </c>
      <c r="M11" s="7">
        <f t="shared" si="1"/>
        <v>0</v>
      </c>
      <c r="N11" s="7">
        <f t="shared" si="1"/>
        <v>0</v>
      </c>
      <c r="O11" s="7">
        <f t="shared" si="1"/>
        <v>3</v>
      </c>
      <c r="P11" s="7">
        <f t="shared" si="1"/>
        <v>5</v>
      </c>
      <c r="Q11" s="7">
        <f t="shared" si="2"/>
        <v>4</v>
      </c>
      <c r="R11" s="7">
        <f t="shared" si="2"/>
        <v>4</v>
      </c>
      <c r="S11" s="7">
        <f t="shared" si="2"/>
        <v>5</v>
      </c>
      <c r="T11" s="7">
        <f t="shared" si="2"/>
        <v>4</v>
      </c>
      <c r="U11" s="7">
        <f t="shared" si="2"/>
        <v>4</v>
      </c>
      <c r="V11" s="7">
        <f t="shared" si="2"/>
        <v>4</v>
      </c>
      <c r="W11" s="7">
        <f t="shared" si="2"/>
        <v>5</v>
      </c>
      <c r="X11" s="7">
        <f t="shared" si="2"/>
        <v>4</v>
      </c>
      <c r="Y11" s="7">
        <f t="shared" si="2"/>
        <v>5</v>
      </c>
      <c r="Z11" s="7">
        <f t="shared" si="2"/>
        <v>4</v>
      </c>
      <c r="AA11" s="7">
        <f t="shared" si="2"/>
        <v>4</v>
      </c>
      <c r="AB11" s="7">
        <f t="shared" si="2"/>
        <v>5</v>
      </c>
    </row>
    <row r="12" spans="1:28" x14ac:dyDescent="0.25">
      <c r="A12" s="4">
        <f>'Class Schedule Analysis'!A11</f>
        <v>9</v>
      </c>
      <c r="B12" s="4">
        <f>'Class Schedule Analysis'!C11</f>
        <v>1</v>
      </c>
      <c r="C12" s="23" t="str">
        <f>'Class Schedule Analysis'!J11</f>
        <v>EAST 306</v>
      </c>
      <c r="D12" s="4" t="str">
        <f>'Class Schedule Analysis'!M11</f>
        <v>Physical</v>
      </c>
      <c r="E12" s="28">
        <f>'Class Schedule Analysis'!P11</f>
        <v>46097</v>
      </c>
      <c r="F12" s="28">
        <f>'Class Schedule Analysis'!Q11</f>
        <v>46226</v>
      </c>
      <c r="G12" s="4">
        <f t="shared" si="1"/>
        <v>0</v>
      </c>
      <c r="H12" s="4">
        <f t="shared" si="1"/>
        <v>0</v>
      </c>
      <c r="I12" s="4">
        <f t="shared" si="1"/>
        <v>0</v>
      </c>
      <c r="J12" s="4">
        <f t="shared" si="1"/>
        <v>0</v>
      </c>
      <c r="K12" s="4">
        <f t="shared" si="1"/>
        <v>3</v>
      </c>
      <c r="L12" s="4">
        <f t="shared" si="1"/>
        <v>4</v>
      </c>
      <c r="M12" s="4">
        <f t="shared" si="1"/>
        <v>4</v>
      </c>
      <c r="N12" s="4">
        <f t="shared" si="1"/>
        <v>5</v>
      </c>
      <c r="O12" s="4">
        <f t="shared" si="1"/>
        <v>3</v>
      </c>
      <c r="P12" s="4">
        <f t="shared" si="1"/>
        <v>0</v>
      </c>
      <c r="Q12" s="4">
        <f t="shared" si="2"/>
        <v>0</v>
      </c>
      <c r="R12" s="4">
        <f t="shared" si="2"/>
        <v>0</v>
      </c>
      <c r="S12" s="4">
        <f t="shared" si="2"/>
        <v>0</v>
      </c>
      <c r="T12" s="4">
        <f t="shared" si="2"/>
        <v>0</v>
      </c>
      <c r="U12" s="4">
        <f t="shared" si="2"/>
        <v>0</v>
      </c>
      <c r="V12" s="4">
        <f t="shared" si="2"/>
        <v>0</v>
      </c>
      <c r="W12" s="4">
        <f t="shared" si="2"/>
        <v>0</v>
      </c>
      <c r="X12" s="4">
        <f t="shared" si="2"/>
        <v>0</v>
      </c>
      <c r="Y12" s="4">
        <f t="shared" si="2"/>
        <v>0</v>
      </c>
      <c r="Z12" s="4">
        <f t="shared" si="2"/>
        <v>0</v>
      </c>
      <c r="AA12" s="4">
        <f t="shared" si="2"/>
        <v>0</v>
      </c>
      <c r="AB12" s="4">
        <f t="shared" si="2"/>
        <v>0</v>
      </c>
    </row>
    <row r="13" spans="1:28" x14ac:dyDescent="0.25">
      <c r="A13" s="7">
        <f>'Class Schedule Analysis'!A12</f>
        <v>10</v>
      </c>
      <c r="B13" s="7">
        <f>'Class Schedule Analysis'!C12</f>
        <v>1</v>
      </c>
      <c r="C13" s="29" t="str">
        <f>'Class Schedule Analysis'!J12</f>
        <v>WEST 101</v>
      </c>
      <c r="D13" s="7" t="str">
        <f>'Class Schedule Analysis'!M12</f>
        <v>Physical</v>
      </c>
      <c r="E13" s="30">
        <f>'Class Schedule Analysis'!P12</f>
        <v>46210</v>
      </c>
      <c r="F13" s="30">
        <f>'Class Schedule Analysis'!Q12</f>
        <v>46346</v>
      </c>
      <c r="G13" s="7">
        <f t="shared" si="1"/>
        <v>0</v>
      </c>
      <c r="H13" s="7">
        <f t="shared" si="1"/>
        <v>0</v>
      </c>
      <c r="I13" s="7">
        <f t="shared" si="1"/>
        <v>0</v>
      </c>
      <c r="J13" s="7">
        <f t="shared" si="1"/>
        <v>0</v>
      </c>
      <c r="K13" s="7">
        <f t="shared" si="1"/>
        <v>0</v>
      </c>
      <c r="L13" s="7">
        <f t="shared" si="1"/>
        <v>0</v>
      </c>
      <c r="M13" s="7">
        <f t="shared" si="1"/>
        <v>0</v>
      </c>
      <c r="N13" s="7">
        <f t="shared" si="1"/>
        <v>0</v>
      </c>
      <c r="O13" s="7">
        <f t="shared" si="1"/>
        <v>3</v>
      </c>
      <c r="P13" s="7">
        <f t="shared" si="1"/>
        <v>5</v>
      </c>
      <c r="Q13" s="7">
        <f t="shared" si="2"/>
        <v>4</v>
      </c>
      <c r="R13" s="7">
        <f t="shared" si="2"/>
        <v>4</v>
      </c>
      <c r="S13" s="7">
        <f t="shared" si="2"/>
        <v>3</v>
      </c>
      <c r="T13" s="7">
        <f t="shared" si="2"/>
        <v>0</v>
      </c>
      <c r="U13" s="7">
        <f t="shared" si="2"/>
        <v>0</v>
      </c>
      <c r="V13" s="7">
        <f t="shared" si="2"/>
        <v>0</v>
      </c>
      <c r="W13" s="7">
        <f t="shared" si="2"/>
        <v>0</v>
      </c>
      <c r="X13" s="7">
        <f t="shared" si="2"/>
        <v>0</v>
      </c>
      <c r="Y13" s="7">
        <f t="shared" si="2"/>
        <v>0</v>
      </c>
      <c r="Z13" s="7">
        <f t="shared" si="2"/>
        <v>0</v>
      </c>
      <c r="AA13" s="7">
        <f t="shared" si="2"/>
        <v>0</v>
      </c>
      <c r="AB13" s="7">
        <f t="shared" si="2"/>
        <v>0</v>
      </c>
    </row>
    <row r="14" spans="1:28" x14ac:dyDescent="0.25">
      <c r="A14" s="4">
        <f>'Class Schedule Analysis'!A13</f>
        <v>11</v>
      </c>
      <c r="B14" s="4">
        <f>'Class Schedule Analysis'!C13</f>
        <v>1</v>
      </c>
      <c r="C14" s="23" t="str">
        <f>'Class Schedule Analysis'!J13</f>
        <v>TECH 001</v>
      </c>
      <c r="D14" s="4" t="str">
        <f>'Class Schedule Analysis'!M13</f>
        <v>Physical</v>
      </c>
      <c r="E14" s="28">
        <f>'Class Schedule Analysis'!P13</f>
        <v>46139</v>
      </c>
      <c r="F14" s="28">
        <f>'Class Schedule Analysis'!Q13</f>
        <v>46261</v>
      </c>
      <c r="G14" s="4">
        <f t="shared" ref="G14:P23" si="3">IF(OR($E14="",$F14=""),0,IF(MAX($E14,G$2)&gt;MIN($F14,G$3),0,INT((MIN($F14,G$3)-(MAX($E14,G$2)+MOD($B14-WEEKDAY(MAX($E14,G$2),2),7)))/7)+1))</f>
        <v>0</v>
      </c>
      <c r="H14" s="4">
        <f t="shared" si="3"/>
        <v>0</v>
      </c>
      <c r="I14" s="4">
        <f t="shared" si="3"/>
        <v>0</v>
      </c>
      <c r="J14" s="4">
        <f t="shared" si="3"/>
        <v>0</v>
      </c>
      <c r="K14" s="4">
        <f t="shared" si="3"/>
        <v>0</v>
      </c>
      <c r="L14" s="4">
        <f t="shared" si="3"/>
        <v>1</v>
      </c>
      <c r="M14" s="4">
        <f t="shared" si="3"/>
        <v>4</v>
      </c>
      <c r="N14" s="4">
        <f t="shared" si="3"/>
        <v>5</v>
      </c>
      <c r="O14" s="4">
        <f t="shared" si="3"/>
        <v>4</v>
      </c>
      <c r="P14" s="4">
        <f t="shared" si="3"/>
        <v>4</v>
      </c>
      <c r="Q14" s="4">
        <f t="shared" ref="Q14:AB23" si="4">IF(OR($E14="",$F14=""),0,IF(MAX($E14,Q$2)&gt;MIN($F14,Q$3),0,INT((MIN($F14,Q$3)-(MAX($E14,Q$2)+MOD($B14-WEEKDAY(MAX($E14,Q$2),2),7)))/7)+1))</f>
        <v>0</v>
      </c>
      <c r="R14" s="4">
        <f t="shared" si="4"/>
        <v>0</v>
      </c>
      <c r="S14" s="4">
        <f t="shared" si="4"/>
        <v>0</v>
      </c>
      <c r="T14" s="4">
        <f t="shared" si="4"/>
        <v>0</v>
      </c>
      <c r="U14" s="4">
        <f t="shared" si="4"/>
        <v>0</v>
      </c>
      <c r="V14" s="4">
        <f t="shared" si="4"/>
        <v>0</v>
      </c>
      <c r="W14" s="4">
        <f t="shared" si="4"/>
        <v>0</v>
      </c>
      <c r="X14" s="4">
        <f t="shared" si="4"/>
        <v>0</v>
      </c>
      <c r="Y14" s="4">
        <f t="shared" si="4"/>
        <v>0</v>
      </c>
      <c r="Z14" s="4">
        <f t="shared" si="4"/>
        <v>0</v>
      </c>
      <c r="AA14" s="4">
        <f t="shared" si="4"/>
        <v>0</v>
      </c>
      <c r="AB14" s="4">
        <f t="shared" si="4"/>
        <v>0</v>
      </c>
    </row>
    <row r="15" spans="1:28" x14ac:dyDescent="0.25">
      <c r="A15" s="7">
        <f>'Class Schedule Analysis'!A14</f>
        <v>12</v>
      </c>
      <c r="B15" s="7">
        <f>'Class Schedule Analysis'!C14</f>
        <v>1</v>
      </c>
      <c r="C15" s="29" t="str">
        <f>'Class Schedule Analysis'!J14</f>
        <v>WEST 102</v>
      </c>
      <c r="D15" s="7" t="str">
        <f>'Class Schedule Analysis'!M14</f>
        <v>Physical</v>
      </c>
      <c r="E15" s="30">
        <f>'Class Schedule Analysis'!P14</f>
        <v>46210</v>
      </c>
      <c r="F15" s="30">
        <f>'Class Schedule Analysis'!Q14</f>
        <v>46346</v>
      </c>
      <c r="G15" s="7">
        <f t="shared" si="3"/>
        <v>0</v>
      </c>
      <c r="H15" s="7">
        <f t="shared" si="3"/>
        <v>0</v>
      </c>
      <c r="I15" s="7">
        <f t="shared" si="3"/>
        <v>0</v>
      </c>
      <c r="J15" s="7">
        <f t="shared" si="3"/>
        <v>0</v>
      </c>
      <c r="K15" s="7">
        <f t="shared" si="3"/>
        <v>0</v>
      </c>
      <c r="L15" s="7">
        <f t="shared" si="3"/>
        <v>0</v>
      </c>
      <c r="M15" s="7">
        <f t="shared" si="3"/>
        <v>0</v>
      </c>
      <c r="N15" s="7">
        <f t="shared" si="3"/>
        <v>0</v>
      </c>
      <c r="O15" s="7">
        <f t="shared" si="3"/>
        <v>3</v>
      </c>
      <c r="P15" s="7">
        <f t="shared" si="3"/>
        <v>5</v>
      </c>
      <c r="Q15" s="7">
        <f t="shared" si="4"/>
        <v>4</v>
      </c>
      <c r="R15" s="7">
        <f t="shared" si="4"/>
        <v>4</v>
      </c>
      <c r="S15" s="7">
        <f t="shared" si="4"/>
        <v>3</v>
      </c>
      <c r="T15" s="7">
        <f t="shared" si="4"/>
        <v>0</v>
      </c>
      <c r="U15" s="7">
        <f t="shared" si="4"/>
        <v>0</v>
      </c>
      <c r="V15" s="7">
        <f t="shared" si="4"/>
        <v>0</v>
      </c>
      <c r="W15" s="7">
        <f t="shared" si="4"/>
        <v>0</v>
      </c>
      <c r="X15" s="7">
        <f t="shared" si="4"/>
        <v>0</v>
      </c>
      <c r="Y15" s="7">
        <f t="shared" si="4"/>
        <v>0</v>
      </c>
      <c r="Z15" s="7">
        <f t="shared" si="4"/>
        <v>0</v>
      </c>
      <c r="AA15" s="7">
        <f t="shared" si="4"/>
        <v>0</v>
      </c>
      <c r="AB15" s="7">
        <f t="shared" si="4"/>
        <v>0</v>
      </c>
    </row>
    <row r="16" spans="1:28" x14ac:dyDescent="0.25">
      <c r="A16" s="4">
        <f>'Class Schedule Analysis'!A15</f>
        <v>13</v>
      </c>
      <c r="B16" s="4">
        <f>'Class Schedule Analysis'!C15</f>
        <v>1</v>
      </c>
      <c r="C16" s="23" t="str">
        <f>'Class Schedule Analysis'!J15</f>
        <v>WEST 103</v>
      </c>
      <c r="D16" s="4" t="str">
        <f>'Class Schedule Analysis'!M15</f>
        <v>Physical</v>
      </c>
      <c r="E16" s="28">
        <f>'Class Schedule Analysis'!P15</f>
        <v>46210</v>
      </c>
      <c r="F16" s="28">
        <f>'Class Schedule Analysis'!Q15</f>
        <v>46346</v>
      </c>
      <c r="G16" s="4">
        <f t="shared" si="3"/>
        <v>0</v>
      </c>
      <c r="H16" s="4">
        <f t="shared" si="3"/>
        <v>0</v>
      </c>
      <c r="I16" s="4">
        <f t="shared" si="3"/>
        <v>0</v>
      </c>
      <c r="J16" s="4">
        <f t="shared" si="3"/>
        <v>0</v>
      </c>
      <c r="K16" s="4">
        <f t="shared" si="3"/>
        <v>0</v>
      </c>
      <c r="L16" s="4">
        <f t="shared" si="3"/>
        <v>0</v>
      </c>
      <c r="M16" s="4">
        <f t="shared" si="3"/>
        <v>0</v>
      </c>
      <c r="N16" s="4">
        <f t="shared" si="3"/>
        <v>0</v>
      </c>
      <c r="O16" s="4">
        <f t="shared" si="3"/>
        <v>3</v>
      </c>
      <c r="P16" s="4">
        <f t="shared" si="3"/>
        <v>5</v>
      </c>
      <c r="Q16" s="4">
        <f t="shared" si="4"/>
        <v>4</v>
      </c>
      <c r="R16" s="4">
        <f t="shared" si="4"/>
        <v>4</v>
      </c>
      <c r="S16" s="4">
        <f t="shared" si="4"/>
        <v>3</v>
      </c>
      <c r="T16" s="4">
        <f t="shared" si="4"/>
        <v>0</v>
      </c>
      <c r="U16" s="4">
        <f t="shared" si="4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4"/>
        <v>0</v>
      </c>
      <c r="Z16" s="4">
        <f t="shared" si="4"/>
        <v>0</v>
      </c>
      <c r="AA16" s="4">
        <f t="shared" si="4"/>
        <v>0</v>
      </c>
      <c r="AB16" s="4">
        <f t="shared" si="4"/>
        <v>0</v>
      </c>
    </row>
    <row r="17" spans="1:28" x14ac:dyDescent="0.25">
      <c r="A17" s="7">
        <f>'Class Schedule Analysis'!A16</f>
        <v>14</v>
      </c>
      <c r="B17" s="7">
        <f>'Class Schedule Analysis'!C16</f>
        <v>1</v>
      </c>
      <c r="C17" s="29" t="str">
        <f>'Class Schedule Analysis'!J16</f>
        <v>WEST 105</v>
      </c>
      <c r="D17" s="7" t="str">
        <f>'Class Schedule Analysis'!M16</f>
        <v>Physical</v>
      </c>
      <c r="E17" s="30">
        <f>'Class Schedule Analysis'!P16</f>
        <v>46097</v>
      </c>
      <c r="F17" s="30">
        <f>'Class Schedule Analysis'!Q16</f>
        <v>46202</v>
      </c>
      <c r="G17" s="7">
        <f t="shared" si="3"/>
        <v>0</v>
      </c>
      <c r="H17" s="7">
        <f t="shared" si="3"/>
        <v>0</v>
      </c>
      <c r="I17" s="7">
        <f t="shared" si="3"/>
        <v>0</v>
      </c>
      <c r="J17" s="7">
        <f t="shared" si="3"/>
        <v>0</v>
      </c>
      <c r="K17" s="7">
        <f t="shared" si="3"/>
        <v>3</v>
      </c>
      <c r="L17" s="7">
        <f t="shared" si="3"/>
        <v>4</v>
      </c>
      <c r="M17" s="7">
        <f t="shared" si="3"/>
        <v>4</v>
      </c>
      <c r="N17" s="7">
        <f t="shared" si="3"/>
        <v>5</v>
      </c>
      <c r="O17" s="7">
        <f t="shared" si="3"/>
        <v>0</v>
      </c>
      <c r="P17" s="7">
        <f t="shared" si="3"/>
        <v>0</v>
      </c>
      <c r="Q17" s="7">
        <f t="shared" si="4"/>
        <v>0</v>
      </c>
      <c r="R17" s="7">
        <f t="shared" si="4"/>
        <v>0</v>
      </c>
      <c r="S17" s="7">
        <f t="shared" si="4"/>
        <v>0</v>
      </c>
      <c r="T17" s="7">
        <f t="shared" si="4"/>
        <v>0</v>
      </c>
      <c r="U17" s="7">
        <f t="shared" si="4"/>
        <v>0</v>
      </c>
      <c r="V17" s="7">
        <f t="shared" si="4"/>
        <v>0</v>
      </c>
      <c r="W17" s="7">
        <f t="shared" si="4"/>
        <v>0</v>
      </c>
      <c r="X17" s="7">
        <f t="shared" si="4"/>
        <v>0</v>
      </c>
      <c r="Y17" s="7">
        <f t="shared" si="4"/>
        <v>0</v>
      </c>
      <c r="Z17" s="7">
        <f t="shared" si="4"/>
        <v>0</v>
      </c>
      <c r="AA17" s="7">
        <f t="shared" si="4"/>
        <v>0</v>
      </c>
      <c r="AB17" s="7">
        <f t="shared" si="4"/>
        <v>0</v>
      </c>
    </row>
    <row r="18" spans="1:28" x14ac:dyDescent="0.25">
      <c r="A18" s="4">
        <f>'Class Schedule Analysis'!A17</f>
        <v>15</v>
      </c>
      <c r="B18" s="4">
        <f>'Class Schedule Analysis'!C17</f>
        <v>1</v>
      </c>
      <c r="C18" s="23" t="str">
        <f>'Class Schedule Analysis'!J17</f>
        <v>WEST 002</v>
      </c>
      <c r="D18" s="4" t="str">
        <f>'Class Schedule Analysis'!M17</f>
        <v>Physical</v>
      </c>
      <c r="E18" s="28">
        <f>'Class Schedule Analysis'!P17</f>
        <v>46210</v>
      </c>
      <c r="F18" s="28">
        <f>'Class Schedule Analysis'!Q17</f>
        <v>46346</v>
      </c>
      <c r="G18" s="4">
        <f t="shared" si="3"/>
        <v>0</v>
      </c>
      <c r="H18" s="4">
        <f t="shared" si="3"/>
        <v>0</v>
      </c>
      <c r="I18" s="4">
        <f t="shared" si="3"/>
        <v>0</v>
      </c>
      <c r="J18" s="4">
        <f t="shared" si="3"/>
        <v>0</v>
      </c>
      <c r="K18" s="4">
        <f t="shared" si="3"/>
        <v>0</v>
      </c>
      <c r="L18" s="4">
        <f t="shared" si="3"/>
        <v>0</v>
      </c>
      <c r="M18" s="4">
        <f t="shared" si="3"/>
        <v>0</v>
      </c>
      <c r="N18" s="4">
        <f t="shared" si="3"/>
        <v>0</v>
      </c>
      <c r="O18" s="4">
        <f t="shared" si="3"/>
        <v>3</v>
      </c>
      <c r="P18" s="4">
        <f t="shared" si="3"/>
        <v>5</v>
      </c>
      <c r="Q18" s="4">
        <f t="shared" si="4"/>
        <v>4</v>
      </c>
      <c r="R18" s="4">
        <f t="shared" si="4"/>
        <v>4</v>
      </c>
      <c r="S18" s="4">
        <f t="shared" si="4"/>
        <v>3</v>
      </c>
      <c r="T18" s="4">
        <f t="shared" si="4"/>
        <v>0</v>
      </c>
      <c r="U18" s="4">
        <f t="shared" si="4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4"/>
        <v>0</v>
      </c>
      <c r="Z18" s="4">
        <f t="shared" si="4"/>
        <v>0</v>
      </c>
      <c r="AA18" s="4">
        <f t="shared" si="4"/>
        <v>0</v>
      </c>
      <c r="AB18" s="4">
        <f t="shared" si="4"/>
        <v>0</v>
      </c>
    </row>
    <row r="19" spans="1:28" x14ac:dyDescent="0.25">
      <c r="A19" s="7">
        <f>'Class Schedule Analysis'!A18</f>
        <v>16</v>
      </c>
      <c r="B19" s="7">
        <f>'Class Schedule Analysis'!C18</f>
        <v>1</v>
      </c>
      <c r="C19" s="29" t="str">
        <f>'Class Schedule Analysis'!J18</f>
        <v>WEST 003</v>
      </c>
      <c r="D19" s="7" t="str">
        <f>'Class Schedule Analysis'!M18</f>
        <v>Physical</v>
      </c>
      <c r="E19" s="30">
        <f>'Class Schedule Analysis'!P18</f>
        <v>46216</v>
      </c>
      <c r="F19" s="30">
        <f>'Class Schedule Analysis'!Q18</f>
        <v>46357</v>
      </c>
      <c r="G19" s="7">
        <f t="shared" si="3"/>
        <v>0</v>
      </c>
      <c r="H19" s="7">
        <f t="shared" si="3"/>
        <v>0</v>
      </c>
      <c r="I19" s="7">
        <f t="shared" si="3"/>
        <v>0</v>
      </c>
      <c r="J19" s="7">
        <f t="shared" si="3"/>
        <v>0</v>
      </c>
      <c r="K19" s="7">
        <f t="shared" si="3"/>
        <v>0</v>
      </c>
      <c r="L19" s="7">
        <f t="shared" si="3"/>
        <v>0</v>
      </c>
      <c r="M19" s="7">
        <f t="shared" si="3"/>
        <v>0</v>
      </c>
      <c r="N19" s="7">
        <f t="shared" si="3"/>
        <v>0</v>
      </c>
      <c r="O19" s="7">
        <f t="shared" si="3"/>
        <v>3</v>
      </c>
      <c r="P19" s="7">
        <f t="shared" si="3"/>
        <v>5</v>
      </c>
      <c r="Q19" s="7">
        <f t="shared" si="4"/>
        <v>4</v>
      </c>
      <c r="R19" s="7">
        <f t="shared" si="4"/>
        <v>4</v>
      </c>
      <c r="S19" s="7">
        <f t="shared" si="4"/>
        <v>5</v>
      </c>
      <c r="T19" s="7">
        <f t="shared" si="4"/>
        <v>0</v>
      </c>
      <c r="U19" s="7">
        <f t="shared" si="4"/>
        <v>0</v>
      </c>
      <c r="V19" s="7">
        <f t="shared" si="4"/>
        <v>0</v>
      </c>
      <c r="W19" s="7">
        <f t="shared" si="4"/>
        <v>0</v>
      </c>
      <c r="X19" s="7">
        <f t="shared" si="4"/>
        <v>0</v>
      </c>
      <c r="Y19" s="7">
        <f t="shared" si="4"/>
        <v>0</v>
      </c>
      <c r="Z19" s="7">
        <f t="shared" si="4"/>
        <v>0</v>
      </c>
      <c r="AA19" s="7">
        <f t="shared" si="4"/>
        <v>0</v>
      </c>
      <c r="AB19" s="7">
        <f t="shared" si="4"/>
        <v>0</v>
      </c>
    </row>
    <row r="20" spans="1:28" x14ac:dyDescent="0.25">
      <c r="A20" s="4">
        <f>'Class Schedule Analysis'!A19</f>
        <v>17</v>
      </c>
      <c r="B20" s="4">
        <f>'Class Schedule Analysis'!C19</f>
        <v>1</v>
      </c>
      <c r="C20" s="23" t="str">
        <f>'Class Schedule Analysis'!J19</f>
        <v>WEST 004</v>
      </c>
      <c r="D20" s="4" t="str">
        <f>'Class Schedule Analysis'!M19</f>
        <v>Physical</v>
      </c>
      <c r="E20" s="28">
        <f>'Class Schedule Analysis'!P19</f>
        <v>46216</v>
      </c>
      <c r="F20" s="28">
        <f>'Class Schedule Analysis'!Q19</f>
        <v>46328</v>
      </c>
      <c r="G20" s="4">
        <f t="shared" si="3"/>
        <v>0</v>
      </c>
      <c r="H20" s="4">
        <f t="shared" si="3"/>
        <v>0</v>
      </c>
      <c r="I20" s="4">
        <f t="shared" si="3"/>
        <v>0</v>
      </c>
      <c r="J20" s="4">
        <f t="shared" si="3"/>
        <v>0</v>
      </c>
      <c r="K20" s="4">
        <f t="shared" si="3"/>
        <v>0</v>
      </c>
      <c r="L20" s="4">
        <f t="shared" si="3"/>
        <v>0</v>
      </c>
      <c r="M20" s="4">
        <f t="shared" si="3"/>
        <v>0</v>
      </c>
      <c r="N20" s="4">
        <f t="shared" si="3"/>
        <v>0</v>
      </c>
      <c r="O20" s="4">
        <f t="shared" si="3"/>
        <v>3</v>
      </c>
      <c r="P20" s="4">
        <f t="shared" si="3"/>
        <v>5</v>
      </c>
      <c r="Q20" s="4">
        <f t="shared" si="4"/>
        <v>4</v>
      </c>
      <c r="R20" s="4">
        <f t="shared" si="4"/>
        <v>4</v>
      </c>
      <c r="S20" s="4">
        <f t="shared" si="4"/>
        <v>1</v>
      </c>
      <c r="T20" s="4">
        <f t="shared" si="4"/>
        <v>0</v>
      </c>
      <c r="U20" s="4">
        <f t="shared" si="4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4"/>
        <v>0</v>
      </c>
      <c r="Z20" s="4">
        <f t="shared" si="4"/>
        <v>0</v>
      </c>
      <c r="AA20" s="4">
        <f t="shared" si="4"/>
        <v>0</v>
      </c>
      <c r="AB20" s="4">
        <f t="shared" si="4"/>
        <v>0</v>
      </c>
    </row>
    <row r="21" spans="1:28" x14ac:dyDescent="0.25">
      <c r="A21" s="7">
        <f>'Class Schedule Analysis'!A20</f>
        <v>18</v>
      </c>
      <c r="B21" s="7">
        <f>'Class Schedule Analysis'!C20</f>
        <v>1</v>
      </c>
      <c r="C21" s="29" t="str">
        <f>'Class Schedule Analysis'!J20</f>
        <v>TECH 002</v>
      </c>
      <c r="D21" s="7" t="str">
        <f>'Class Schedule Analysis'!M20</f>
        <v>Physical</v>
      </c>
      <c r="E21" s="30">
        <f>'Class Schedule Analysis'!P20</f>
        <v>46191</v>
      </c>
      <c r="F21" s="30">
        <f>'Class Schedule Analysis'!Q20</f>
        <v>46323</v>
      </c>
      <c r="G21" s="7">
        <f t="shared" si="3"/>
        <v>0</v>
      </c>
      <c r="H21" s="7">
        <f t="shared" si="3"/>
        <v>0</v>
      </c>
      <c r="I21" s="7">
        <f t="shared" si="3"/>
        <v>0</v>
      </c>
      <c r="J21" s="7">
        <f t="shared" si="3"/>
        <v>0</v>
      </c>
      <c r="K21" s="7">
        <f t="shared" si="3"/>
        <v>0</v>
      </c>
      <c r="L21" s="7">
        <f t="shared" si="3"/>
        <v>0</v>
      </c>
      <c r="M21" s="7">
        <f t="shared" si="3"/>
        <v>0</v>
      </c>
      <c r="N21" s="7">
        <f t="shared" si="3"/>
        <v>2</v>
      </c>
      <c r="O21" s="7">
        <f t="shared" si="3"/>
        <v>4</v>
      </c>
      <c r="P21" s="7">
        <f t="shared" si="3"/>
        <v>5</v>
      </c>
      <c r="Q21" s="7">
        <f t="shared" si="4"/>
        <v>4</v>
      </c>
      <c r="R21" s="7">
        <f t="shared" si="4"/>
        <v>4</v>
      </c>
      <c r="S21" s="7">
        <f t="shared" si="4"/>
        <v>0</v>
      </c>
      <c r="T21" s="7">
        <f t="shared" si="4"/>
        <v>0</v>
      </c>
      <c r="U21" s="7">
        <f t="shared" si="4"/>
        <v>0</v>
      </c>
      <c r="V21" s="7">
        <f t="shared" si="4"/>
        <v>0</v>
      </c>
      <c r="W21" s="7">
        <f t="shared" si="4"/>
        <v>0</v>
      </c>
      <c r="X21" s="7">
        <f t="shared" si="4"/>
        <v>0</v>
      </c>
      <c r="Y21" s="7">
        <f t="shared" si="4"/>
        <v>0</v>
      </c>
      <c r="Z21" s="7">
        <f t="shared" si="4"/>
        <v>0</v>
      </c>
      <c r="AA21" s="7">
        <f t="shared" si="4"/>
        <v>0</v>
      </c>
      <c r="AB21" s="7">
        <f t="shared" si="4"/>
        <v>0</v>
      </c>
    </row>
    <row r="22" spans="1:28" x14ac:dyDescent="0.25">
      <c r="A22" s="4">
        <f>'Class Schedule Analysis'!A21</f>
        <v>19</v>
      </c>
      <c r="B22" s="4">
        <f>'Class Schedule Analysis'!C21</f>
        <v>1</v>
      </c>
      <c r="C22" s="23" t="str">
        <f>'Class Schedule Analysis'!J21</f>
        <v>EAST 305</v>
      </c>
      <c r="D22" s="4" t="str">
        <f>'Class Schedule Analysis'!M21</f>
        <v>Physical</v>
      </c>
      <c r="E22" s="28">
        <f>'Class Schedule Analysis'!P21</f>
        <v>46216</v>
      </c>
      <c r="F22" s="28">
        <f>'Class Schedule Analysis'!Q21</f>
        <v>46630</v>
      </c>
      <c r="G22" s="4">
        <f t="shared" si="3"/>
        <v>0</v>
      </c>
      <c r="H22" s="4">
        <f t="shared" si="3"/>
        <v>0</v>
      </c>
      <c r="I22" s="4">
        <f t="shared" si="3"/>
        <v>0</v>
      </c>
      <c r="J22" s="4">
        <f t="shared" si="3"/>
        <v>0</v>
      </c>
      <c r="K22" s="4">
        <f t="shared" si="3"/>
        <v>0</v>
      </c>
      <c r="L22" s="4">
        <f t="shared" si="3"/>
        <v>0</v>
      </c>
      <c r="M22" s="4">
        <f t="shared" si="3"/>
        <v>0</v>
      </c>
      <c r="N22" s="4">
        <f t="shared" si="3"/>
        <v>0</v>
      </c>
      <c r="O22" s="4">
        <f t="shared" si="3"/>
        <v>3</v>
      </c>
      <c r="P22" s="4">
        <f t="shared" si="3"/>
        <v>5</v>
      </c>
      <c r="Q22" s="4">
        <f t="shared" si="4"/>
        <v>4</v>
      </c>
      <c r="R22" s="4">
        <f t="shared" si="4"/>
        <v>4</v>
      </c>
      <c r="S22" s="4">
        <f t="shared" si="4"/>
        <v>5</v>
      </c>
      <c r="T22" s="4">
        <f t="shared" si="4"/>
        <v>4</v>
      </c>
      <c r="U22" s="4">
        <f t="shared" si="4"/>
        <v>4</v>
      </c>
      <c r="V22" s="4">
        <f t="shared" si="4"/>
        <v>4</v>
      </c>
      <c r="W22" s="4">
        <f t="shared" si="4"/>
        <v>5</v>
      </c>
      <c r="X22" s="4">
        <f t="shared" si="4"/>
        <v>4</v>
      </c>
      <c r="Y22" s="4">
        <f t="shared" si="4"/>
        <v>5</v>
      </c>
      <c r="Z22" s="4">
        <f t="shared" si="4"/>
        <v>4</v>
      </c>
      <c r="AA22" s="4">
        <f t="shared" si="4"/>
        <v>4</v>
      </c>
      <c r="AB22" s="4">
        <f t="shared" si="4"/>
        <v>5</v>
      </c>
    </row>
    <row r="23" spans="1:28" x14ac:dyDescent="0.25">
      <c r="A23" s="7">
        <f>'Class Schedule Analysis'!A22</f>
        <v>20</v>
      </c>
      <c r="B23" s="7">
        <f>'Class Schedule Analysis'!C22</f>
        <v>1</v>
      </c>
      <c r="C23" s="29" t="str">
        <f>'Class Schedule Analysis'!J22</f>
        <v>EAST 306</v>
      </c>
      <c r="D23" s="7" t="str">
        <f>'Class Schedule Analysis'!M22</f>
        <v>Physical</v>
      </c>
      <c r="E23" s="30">
        <f>'Class Schedule Analysis'!P22</f>
        <v>46097</v>
      </c>
      <c r="F23" s="30">
        <f>'Class Schedule Analysis'!Q22</f>
        <v>46226</v>
      </c>
      <c r="G23" s="7">
        <f t="shared" si="3"/>
        <v>0</v>
      </c>
      <c r="H23" s="7">
        <f t="shared" si="3"/>
        <v>0</v>
      </c>
      <c r="I23" s="7">
        <f t="shared" si="3"/>
        <v>0</v>
      </c>
      <c r="J23" s="7">
        <f t="shared" si="3"/>
        <v>0</v>
      </c>
      <c r="K23" s="7">
        <f t="shared" si="3"/>
        <v>3</v>
      </c>
      <c r="L23" s="7">
        <f t="shared" si="3"/>
        <v>4</v>
      </c>
      <c r="M23" s="7">
        <f t="shared" si="3"/>
        <v>4</v>
      </c>
      <c r="N23" s="7">
        <f t="shared" si="3"/>
        <v>5</v>
      </c>
      <c r="O23" s="7">
        <f t="shared" si="3"/>
        <v>3</v>
      </c>
      <c r="P23" s="7">
        <f t="shared" si="3"/>
        <v>0</v>
      </c>
      <c r="Q23" s="7">
        <f t="shared" si="4"/>
        <v>0</v>
      </c>
      <c r="R23" s="7">
        <f t="shared" si="4"/>
        <v>0</v>
      </c>
      <c r="S23" s="7">
        <f t="shared" si="4"/>
        <v>0</v>
      </c>
      <c r="T23" s="7">
        <f t="shared" si="4"/>
        <v>0</v>
      </c>
      <c r="U23" s="7">
        <f t="shared" si="4"/>
        <v>0</v>
      </c>
      <c r="V23" s="7">
        <f t="shared" si="4"/>
        <v>0</v>
      </c>
      <c r="W23" s="7">
        <f t="shared" si="4"/>
        <v>0</v>
      </c>
      <c r="X23" s="7">
        <f t="shared" si="4"/>
        <v>0</v>
      </c>
      <c r="Y23" s="7">
        <f t="shared" si="4"/>
        <v>0</v>
      </c>
      <c r="Z23" s="7">
        <f t="shared" si="4"/>
        <v>0</v>
      </c>
      <c r="AA23" s="7">
        <f t="shared" si="4"/>
        <v>0</v>
      </c>
      <c r="AB23" s="7">
        <f t="shared" si="4"/>
        <v>0</v>
      </c>
    </row>
    <row r="24" spans="1:28" x14ac:dyDescent="0.25">
      <c r="A24" s="4">
        <f>'Class Schedule Analysis'!A23</f>
        <v>21</v>
      </c>
      <c r="B24" s="4">
        <f>'Class Schedule Analysis'!C23</f>
        <v>2</v>
      </c>
      <c r="C24" s="23" t="str">
        <f>'Class Schedule Analysis'!J23</f>
        <v>WEST 104</v>
      </c>
      <c r="D24" s="4" t="str">
        <f>'Class Schedule Analysis'!M23</f>
        <v>Hybrid</v>
      </c>
      <c r="E24" s="28">
        <f>'Class Schedule Analysis'!P23</f>
        <v>46190</v>
      </c>
      <c r="F24" s="28">
        <f>'Class Schedule Analysis'!Q23</f>
        <v>46286</v>
      </c>
      <c r="G24" s="4">
        <f t="shared" ref="G24:P33" si="5">IF(OR($E24="",$F24=""),0,IF(MAX($E24,G$2)&gt;MIN($F24,G$3),0,INT((MIN($F24,G$3)-(MAX($E24,G$2)+MOD($B24-WEEKDAY(MAX($E24,G$2),2),7)))/7)+1))</f>
        <v>0</v>
      </c>
      <c r="H24" s="4">
        <f t="shared" si="5"/>
        <v>0</v>
      </c>
      <c r="I24" s="4">
        <f t="shared" si="5"/>
        <v>0</v>
      </c>
      <c r="J24" s="4">
        <f t="shared" si="5"/>
        <v>0</v>
      </c>
      <c r="K24" s="4">
        <f t="shared" si="5"/>
        <v>0</v>
      </c>
      <c r="L24" s="4">
        <f t="shared" si="5"/>
        <v>0</v>
      </c>
      <c r="M24" s="4">
        <f t="shared" si="5"/>
        <v>0</v>
      </c>
      <c r="N24" s="4">
        <f t="shared" si="5"/>
        <v>2</v>
      </c>
      <c r="O24" s="4">
        <f t="shared" si="5"/>
        <v>4</v>
      </c>
      <c r="P24" s="4">
        <f t="shared" si="5"/>
        <v>4</v>
      </c>
      <c r="Q24" s="4">
        <f t="shared" ref="Q24:AB33" si="6">IF(OR($E24="",$F24=""),0,IF(MAX($E24,Q$2)&gt;MIN($F24,Q$3),0,INT((MIN($F24,Q$3)-(MAX($E24,Q$2)+MOD($B24-WEEKDAY(MAX($E24,Q$2),2),7)))/7)+1))</f>
        <v>3</v>
      </c>
      <c r="R24" s="4">
        <f t="shared" si="6"/>
        <v>0</v>
      </c>
      <c r="S24" s="4">
        <f t="shared" si="6"/>
        <v>0</v>
      </c>
      <c r="T24" s="4">
        <f t="shared" si="6"/>
        <v>0</v>
      </c>
      <c r="U24" s="4">
        <f t="shared" si="6"/>
        <v>0</v>
      </c>
      <c r="V24" s="4">
        <f t="shared" si="6"/>
        <v>0</v>
      </c>
      <c r="W24" s="4">
        <f t="shared" si="6"/>
        <v>0</v>
      </c>
      <c r="X24" s="4">
        <f t="shared" si="6"/>
        <v>0</v>
      </c>
      <c r="Y24" s="4">
        <f t="shared" si="6"/>
        <v>0</v>
      </c>
      <c r="Z24" s="4">
        <f t="shared" si="6"/>
        <v>0</v>
      </c>
      <c r="AA24" s="4">
        <f t="shared" si="6"/>
        <v>0</v>
      </c>
      <c r="AB24" s="4">
        <f t="shared" si="6"/>
        <v>0</v>
      </c>
    </row>
    <row r="25" spans="1:28" x14ac:dyDescent="0.25">
      <c r="A25" s="7">
        <f>'Class Schedule Analysis'!A24</f>
        <v>22</v>
      </c>
      <c r="B25" s="7">
        <f>'Class Schedule Analysis'!C24</f>
        <v>2</v>
      </c>
      <c r="C25" s="29" t="str">
        <f>'Class Schedule Analysis'!J24</f>
        <v>TECH 002</v>
      </c>
      <c r="D25" s="7" t="str">
        <f>'Class Schedule Analysis'!M24</f>
        <v>Physical</v>
      </c>
      <c r="E25" s="30">
        <f>'Class Schedule Analysis'!P24</f>
        <v>46210</v>
      </c>
      <c r="F25" s="30">
        <f>'Class Schedule Analysis'!Q24</f>
        <v>46346</v>
      </c>
      <c r="G25" s="7">
        <f t="shared" si="5"/>
        <v>0</v>
      </c>
      <c r="H25" s="7">
        <f t="shared" si="5"/>
        <v>0</v>
      </c>
      <c r="I25" s="7">
        <f t="shared" si="5"/>
        <v>0</v>
      </c>
      <c r="J25" s="7">
        <f t="shared" si="5"/>
        <v>0</v>
      </c>
      <c r="K25" s="7">
        <f t="shared" si="5"/>
        <v>0</v>
      </c>
      <c r="L25" s="7">
        <f t="shared" si="5"/>
        <v>0</v>
      </c>
      <c r="M25" s="7">
        <f t="shared" si="5"/>
        <v>0</v>
      </c>
      <c r="N25" s="7">
        <f t="shared" si="5"/>
        <v>0</v>
      </c>
      <c r="O25" s="7">
        <f t="shared" si="5"/>
        <v>4</v>
      </c>
      <c r="P25" s="7">
        <f t="shared" si="5"/>
        <v>4</v>
      </c>
      <c r="Q25" s="7">
        <f t="shared" si="6"/>
        <v>5</v>
      </c>
      <c r="R25" s="7">
        <f t="shared" si="6"/>
        <v>4</v>
      </c>
      <c r="S25" s="7">
        <f t="shared" si="6"/>
        <v>3</v>
      </c>
      <c r="T25" s="7">
        <f t="shared" si="6"/>
        <v>0</v>
      </c>
      <c r="U25" s="7">
        <f t="shared" si="6"/>
        <v>0</v>
      </c>
      <c r="V25" s="7">
        <f t="shared" si="6"/>
        <v>0</v>
      </c>
      <c r="W25" s="7">
        <f t="shared" si="6"/>
        <v>0</v>
      </c>
      <c r="X25" s="7">
        <f t="shared" si="6"/>
        <v>0</v>
      </c>
      <c r="Y25" s="7">
        <f t="shared" si="6"/>
        <v>0</v>
      </c>
      <c r="Z25" s="7">
        <f t="shared" si="6"/>
        <v>0</v>
      </c>
      <c r="AA25" s="7">
        <f t="shared" si="6"/>
        <v>0</v>
      </c>
      <c r="AB25" s="7">
        <f t="shared" si="6"/>
        <v>0</v>
      </c>
    </row>
    <row r="26" spans="1:28" x14ac:dyDescent="0.25">
      <c r="A26" s="4">
        <f>'Class Schedule Analysis'!A25</f>
        <v>23</v>
      </c>
      <c r="B26" s="4">
        <f>'Class Schedule Analysis'!C25</f>
        <v>2</v>
      </c>
      <c r="C26" s="23" t="str">
        <f>'Class Schedule Analysis'!J25</f>
        <v>EAST 304</v>
      </c>
      <c r="D26" s="4" t="str">
        <f>'Class Schedule Analysis'!M25</f>
        <v>Hybrid</v>
      </c>
      <c r="E26" s="28">
        <f>'Class Schedule Analysis'!P25</f>
        <v>46153</v>
      </c>
      <c r="F26" s="28">
        <f>'Class Schedule Analysis'!Q25</f>
        <v>46251</v>
      </c>
      <c r="G26" s="4">
        <f t="shared" si="5"/>
        <v>0</v>
      </c>
      <c r="H26" s="4">
        <f t="shared" si="5"/>
        <v>0</v>
      </c>
      <c r="I26" s="4">
        <f t="shared" si="5"/>
        <v>0</v>
      </c>
      <c r="J26" s="4">
        <f t="shared" si="5"/>
        <v>0</v>
      </c>
      <c r="K26" s="4">
        <f t="shared" si="5"/>
        <v>0</v>
      </c>
      <c r="L26" s="4">
        <f t="shared" si="5"/>
        <v>0</v>
      </c>
      <c r="M26" s="4">
        <f t="shared" si="5"/>
        <v>3</v>
      </c>
      <c r="N26" s="4">
        <f t="shared" si="5"/>
        <v>5</v>
      </c>
      <c r="O26" s="4">
        <f t="shared" si="5"/>
        <v>4</v>
      </c>
      <c r="P26" s="4">
        <f t="shared" si="5"/>
        <v>2</v>
      </c>
      <c r="Q26" s="4">
        <f t="shared" si="6"/>
        <v>0</v>
      </c>
      <c r="R26" s="4">
        <f t="shared" si="6"/>
        <v>0</v>
      </c>
      <c r="S26" s="4">
        <f t="shared" si="6"/>
        <v>0</v>
      </c>
      <c r="T26" s="4">
        <f t="shared" si="6"/>
        <v>0</v>
      </c>
      <c r="U26" s="4">
        <f t="shared" si="6"/>
        <v>0</v>
      </c>
      <c r="V26" s="4">
        <f t="shared" si="6"/>
        <v>0</v>
      </c>
      <c r="W26" s="4">
        <f t="shared" si="6"/>
        <v>0</v>
      </c>
      <c r="X26" s="4">
        <f t="shared" si="6"/>
        <v>0</v>
      </c>
      <c r="Y26" s="4">
        <f t="shared" si="6"/>
        <v>0</v>
      </c>
      <c r="Z26" s="4">
        <f t="shared" si="6"/>
        <v>0</v>
      </c>
      <c r="AA26" s="4">
        <f t="shared" si="6"/>
        <v>0</v>
      </c>
      <c r="AB26" s="4">
        <f t="shared" si="6"/>
        <v>0</v>
      </c>
    </row>
    <row r="27" spans="1:28" x14ac:dyDescent="0.25">
      <c r="A27" s="7">
        <f>'Class Schedule Analysis'!A26</f>
        <v>24</v>
      </c>
      <c r="B27" s="7">
        <f>'Class Schedule Analysis'!C26</f>
        <v>2</v>
      </c>
      <c r="C27" s="29" t="str">
        <f>'Class Schedule Analysis'!J26</f>
        <v>WEST 102</v>
      </c>
      <c r="D27" s="7" t="str">
        <f>'Class Schedule Analysis'!M26</f>
        <v>Physical</v>
      </c>
      <c r="E27" s="30">
        <f>'Class Schedule Analysis'!P26</f>
        <v>46139</v>
      </c>
      <c r="F27" s="30">
        <f>'Class Schedule Analysis'!Q26</f>
        <v>46314</v>
      </c>
      <c r="G27" s="7">
        <f t="shared" si="5"/>
        <v>0</v>
      </c>
      <c r="H27" s="7">
        <f t="shared" si="5"/>
        <v>0</v>
      </c>
      <c r="I27" s="7">
        <f t="shared" si="5"/>
        <v>0</v>
      </c>
      <c r="J27" s="7">
        <f t="shared" si="5"/>
        <v>0</v>
      </c>
      <c r="K27" s="7">
        <f t="shared" si="5"/>
        <v>0</v>
      </c>
      <c r="L27" s="7">
        <f t="shared" si="5"/>
        <v>1</v>
      </c>
      <c r="M27" s="7">
        <f t="shared" si="5"/>
        <v>4</v>
      </c>
      <c r="N27" s="7">
        <f t="shared" si="5"/>
        <v>5</v>
      </c>
      <c r="O27" s="7">
        <f t="shared" si="5"/>
        <v>4</v>
      </c>
      <c r="P27" s="7">
        <f t="shared" si="5"/>
        <v>4</v>
      </c>
      <c r="Q27" s="7">
        <f t="shared" si="6"/>
        <v>5</v>
      </c>
      <c r="R27" s="7">
        <f t="shared" si="6"/>
        <v>2</v>
      </c>
      <c r="S27" s="7">
        <f t="shared" si="6"/>
        <v>0</v>
      </c>
      <c r="T27" s="7">
        <f t="shared" si="6"/>
        <v>0</v>
      </c>
      <c r="U27" s="7">
        <f t="shared" si="6"/>
        <v>0</v>
      </c>
      <c r="V27" s="7">
        <f t="shared" si="6"/>
        <v>0</v>
      </c>
      <c r="W27" s="7">
        <f t="shared" si="6"/>
        <v>0</v>
      </c>
      <c r="X27" s="7">
        <f t="shared" si="6"/>
        <v>0</v>
      </c>
      <c r="Y27" s="7">
        <f t="shared" si="6"/>
        <v>0</v>
      </c>
      <c r="Z27" s="7">
        <f t="shared" si="6"/>
        <v>0</v>
      </c>
      <c r="AA27" s="7">
        <f t="shared" si="6"/>
        <v>0</v>
      </c>
      <c r="AB27" s="7">
        <f t="shared" si="6"/>
        <v>0</v>
      </c>
    </row>
    <row r="28" spans="1:28" x14ac:dyDescent="0.25">
      <c r="A28" s="4">
        <f>'Class Schedule Analysis'!A27</f>
        <v>25</v>
      </c>
      <c r="B28" s="4">
        <f>'Class Schedule Analysis'!C27</f>
        <v>2</v>
      </c>
      <c r="C28" s="23" t="str">
        <f>'Class Schedule Analysis'!J27</f>
        <v>WEST 103</v>
      </c>
      <c r="D28" s="4" t="str">
        <f>'Class Schedule Analysis'!M27</f>
        <v>Physical</v>
      </c>
      <c r="E28" s="28">
        <f>'Class Schedule Analysis'!P27</f>
        <v>46210</v>
      </c>
      <c r="F28" s="28">
        <f>'Class Schedule Analysis'!Q27</f>
        <v>46346</v>
      </c>
      <c r="G28" s="4">
        <f t="shared" si="5"/>
        <v>0</v>
      </c>
      <c r="H28" s="4">
        <f t="shared" si="5"/>
        <v>0</v>
      </c>
      <c r="I28" s="4">
        <f t="shared" si="5"/>
        <v>0</v>
      </c>
      <c r="J28" s="4">
        <f t="shared" si="5"/>
        <v>0</v>
      </c>
      <c r="K28" s="4">
        <f t="shared" si="5"/>
        <v>0</v>
      </c>
      <c r="L28" s="4">
        <f t="shared" si="5"/>
        <v>0</v>
      </c>
      <c r="M28" s="4">
        <f t="shared" si="5"/>
        <v>0</v>
      </c>
      <c r="N28" s="4">
        <f t="shared" si="5"/>
        <v>0</v>
      </c>
      <c r="O28" s="4">
        <f t="shared" si="5"/>
        <v>4</v>
      </c>
      <c r="P28" s="4">
        <f t="shared" si="5"/>
        <v>4</v>
      </c>
      <c r="Q28" s="4">
        <f t="shared" si="6"/>
        <v>5</v>
      </c>
      <c r="R28" s="4">
        <f t="shared" si="6"/>
        <v>4</v>
      </c>
      <c r="S28" s="4">
        <f t="shared" si="6"/>
        <v>3</v>
      </c>
      <c r="T28" s="4">
        <f t="shared" si="6"/>
        <v>0</v>
      </c>
      <c r="U28" s="4">
        <f t="shared" si="6"/>
        <v>0</v>
      </c>
      <c r="V28" s="4">
        <f t="shared" si="6"/>
        <v>0</v>
      </c>
      <c r="W28" s="4">
        <f t="shared" si="6"/>
        <v>0</v>
      </c>
      <c r="X28" s="4">
        <f t="shared" si="6"/>
        <v>0</v>
      </c>
      <c r="Y28" s="4">
        <f t="shared" si="6"/>
        <v>0</v>
      </c>
      <c r="Z28" s="4">
        <f t="shared" si="6"/>
        <v>0</v>
      </c>
      <c r="AA28" s="4">
        <f t="shared" si="6"/>
        <v>0</v>
      </c>
      <c r="AB28" s="4">
        <f t="shared" si="6"/>
        <v>0</v>
      </c>
    </row>
    <row r="29" spans="1:28" x14ac:dyDescent="0.25">
      <c r="A29" s="7">
        <f>'Class Schedule Analysis'!A28</f>
        <v>26</v>
      </c>
      <c r="B29" s="7">
        <f>'Class Schedule Analysis'!C28</f>
        <v>2</v>
      </c>
      <c r="C29" s="29" t="str">
        <f>'Class Schedule Analysis'!J28</f>
        <v>WEST 002</v>
      </c>
      <c r="D29" s="7" t="str">
        <f>'Class Schedule Analysis'!M28</f>
        <v>Physical</v>
      </c>
      <c r="E29" s="30">
        <f>'Class Schedule Analysis'!P28</f>
        <v>46097</v>
      </c>
      <c r="F29" s="30">
        <f>'Class Schedule Analysis'!Q28</f>
        <v>46226</v>
      </c>
      <c r="G29" s="7">
        <f t="shared" si="5"/>
        <v>0</v>
      </c>
      <c r="H29" s="7">
        <f t="shared" si="5"/>
        <v>0</v>
      </c>
      <c r="I29" s="7">
        <f t="shared" si="5"/>
        <v>0</v>
      </c>
      <c r="J29" s="7">
        <f t="shared" si="5"/>
        <v>0</v>
      </c>
      <c r="K29" s="7">
        <f t="shared" si="5"/>
        <v>3</v>
      </c>
      <c r="L29" s="7">
        <f t="shared" si="5"/>
        <v>4</v>
      </c>
      <c r="M29" s="7">
        <f t="shared" si="5"/>
        <v>4</v>
      </c>
      <c r="N29" s="7">
        <f t="shared" si="5"/>
        <v>5</v>
      </c>
      <c r="O29" s="7">
        <f t="shared" si="5"/>
        <v>3</v>
      </c>
      <c r="P29" s="7">
        <f t="shared" si="5"/>
        <v>0</v>
      </c>
      <c r="Q29" s="7">
        <f t="shared" si="6"/>
        <v>0</v>
      </c>
      <c r="R29" s="7">
        <f t="shared" si="6"/>
        <v>0</v>
      </c>
      <c r="S29" s="7">
        <f t="shared" si="6"/>
        <v>0</v>
      </c>
      <c r="T29" s="7">
        <f t="shared" si="6"/>
        <v>0</v>
      </c>
      <c r="U29" s="7">
        <f t="shared" si="6"/>
        <v>0</v>
      </c>
      <c r="V29" s="7">
        <f t="shared" si="6"/>
        <v>0</v>
      </c>
      <c r="W29" s="7">
        <f t="shared" si="6"/>
        <v>0</v>
      </c>
      <c r="X29" s="7">
        <f t="shared" si="6"/>
        <v>0</v>
      </c>
      <c r="Y29" s="7">
        <f t="shared" si="6"/>
        <v>0</v>
      </c>
      <c r="Z29" s="7">
        <f t="shared" si="6"/>
        <v>0</v>
      </c>
      <c r="AA29" s="7">
        <f t="shared" si="6"/>
        <v>0</v>
      </c>
      <c r="AB29" s="7">
        <f t="shared" si="6"/>
        <v>0</v>
      </c>
    </row>
    <row r="30" spans="1:28" x14ac:dyDescent="0.25">
      <c r="A30" s="4">
        <f>'Class Schedule Analysis'!A29</f>
        <v>27</v>
      </c>
      <c r="B30" s="4">
        <f>'Class Schedule Analysis'!C29</f>
        <v>2</v>
      </c>
      <c r="C30" s="23" t="str">
        <f>'Class Schedule Analysis'!J29</f>
        <v>WEST 003</v>
      </c>
      <c r="D30" s="4" t="str">
        <f>'Class Schedule Analysis'!M29</f>
        <v>Physical</v>
      </c>
      <c r="E30" s="28">
        <f>'Class Schedule Analysis'!P29</f>
        <v>46216</v>
      </c>
      <c r="F30" s="28">
        <f>'Class Schedule Analysis'!Q29</f>
        <v>46370</v>
      </c>
      <c r="G30" s="4">
        <f t="shared" si="5"/>
        <v>0</v>
      </c>
      <c r="H30" s="4">
        <f t="shared" si="5"/>
        <v>0</v>
      </c>
      <c r="I30" s="4">
        <f t="shared" si="5"/>
        <v>0</v>
      </c>
      <c r="J30" s="4">
        <f t="shared" si="5"/>
        <v>0</v>
      </c>
      <c r="K30" s="4">
        <f t="shared" si="5"/>
        <v>0</v>
      </c>
      <c r="L30" s="4">
        <f t="shared" si="5"/>
        <v>0</v>
      </c>
      <c r="M30" s="4">
        <f t="shared" si="5"/>
        <v>0</v>
      </c>
      <c r="N30" s="4">
        <f t="shared" si="5"/>
        <v>0</v>
      </c>
      <c r="O30" s="4">
        <f t="shared" si="5"/>
        <v>3</v>
      </c>
      <c r="P30" s="4">
        <f t="shared" si="5"/>
        <v>4</v>
      </c>
      <c r="Q30" s="4">
        <f t="shared" si="6"/>
        <v>5</v>
      </c>
      <c r="R30" s="4">
        <f t="shared" si="6"/>
        <v>4</v>
      </c>
      <c r="S30" s="4">
        <f t="shared" si="6"/>
        <v>4</v>
      </c>
      <c r="T30" s="4">
        <f t="shared" si="6"/>
        <v>2</v>
      </c>
      <c r="U30" s="4">
        <f t="shared" si="6"/>
        <v>0</v>
      </c>
      <c r="V30" s="4">
        <f t="shared" si="6"/>
        <v>0</v>
      </c>
      <c r="W30" s="4">
        <f t="shared" si="6"/>
        <v>0</v>
      </c>
      <c r="X30" s="4">
        <f t="shared" si="6"/>
        <v>0</v>
      </c>
      <c r="Y30" s="4">
        <f t="shared" si="6"/>
        <v>0</v>
      </c>
      <c r="Z30" s="4">
        <f t="shared" si="6"/>
        <v>0</v>
      </c>
      <c r="AA30" s="4">
        <f t="shared" si="6"/>
        <v>0</v>
      </c>
      <c r="AB30" s="4">
        <f t="shared" si="6"/>
        <v>0</v>
      </c>
    </row>
    <row r="31" spans="1:28" x14ac:dyDescent="0.25">
      <c r="A31" s="7">
        <f>'Class Schedule Analysis'!A30</f>
        <v>28</v>
      </c>
      <c r="B31" s="7">
        <f>'Class Schedule Analysis'!C30</f>
        <v>2</v>
      </c>
      <c r="C31" s="29" t="str">
        <f>'Class Schedule Analysis'!J30</f>
        <v>TECH 003</v>
      </c>
      <c r="D31" s="7" t="str">
        <f>'Class Schedule Analysis'!M30</f>
        <v>Physical</v>
      </c>
      <c r="E31" s="30">
        <f>'Class Schedule Analysis'!P30</f>
        <v>46216</v>
      </c>
      <c r="F31" s="30">
        <f>'Class Schedule Analysis'!Q30</f>
        <v>46357</v>
      </c>
      <c r="G31" s="7">
        <f t="shared" si="5"/>
        <v>0</v>
      </c>
      <c r="H31" s="7">
        <f t="shared" si="5"/>
        <v>0</v>
      </c>
      <c r="I31" s="7">
        <f t="shared" si="5"/>
        <v>0</v>
      </c>
      <c r="J31" s="7">
        <f t="shared" si="5"/>
        <v>0</v>
      </c>
      <c r="K31" s="7">
        <f t="shared" si="5"/>
        <v>0</v>
      </c>
      <c r="L31" s="7">
        <f t="shared" si="5"/>
        <v>0</v>
      </c>
      <c r="M31" s="7">
        <f t="shared" si="5"/>
        <v>0</v>
      </c>
      <c r="N31" s="7">
        <f t="shared" si="5"/>
        <v>0</v>
      </c>
      <c r="O31" s="7">
        <f t="shared" si="5"/>
        <v>3</v>
      </c>
      <c r="P31" s="7">
        <f t="shared" si="5"/>
        <v>4</v>
      </c>
      <c r="Q31" s="7">
        <f t="shared" si="6"/>
        <v>5</v>
      </c>
      <c r="R31" s="7">
        <f t="shared" si="6"/>
        <v>4</v>
      </c>
      <c r="S31" s="7">
        <f t="shared" si="6"/>
        <v>4</v>
      </c>
      <c r="T31" s="7">
        <f t="shared" si="6"/>
        <v>1</v>
      </c>
      <c r="U31" s="7">
        <f t="shared" si="6"/>
        <v>0</v>
      </c>
      <c r="V31" s="7">
        <f t="shared" si="6"/>
        <v>0</v>
      </c>
      <c r="W31" s="7">
        <f t="shared" si="6"/>
        <v>0</v>
      </c>
      <c r="X31" s="7">
        <f t="shared" si="6"/>
        <v>0</v>
      </c>
      <c r="Y31" s="7">
        <f t="shared" si="6"/>
        <v>0</v>
      </c>
      <c r="Z31" s="7">
        <f t="shared" si="6"/>
        <v>0</v>
      </c>
      <c r="AA31" s="7">
        <f t="shared" si="6"/>
        <v>0</v>
      </c>
      <c r="AB31" s="7">
        <f t="shared" si="6"/>
        <v>0</v>
      </c>
    </row>
    <row r="32" spans="1:28" x14ac:dyDescent="0.25">
      <c r="A32" s="4">
        <f>'Class Schedule Analysis'!A31</f>
        <v>29</v>
      </c>
      <c r="B32" s="4">
        <f>'Class Schedule Analysis'!C31</f>
        <v>2</v>
      </c>
      <c r="C32" s="23" t="str">
        <f>'Class Schedule Analysis'!J31</f>
        <v>TECH 004</v>
      </c>
      <c r="D32" s="4" t="str">
        <f>'Class Schedule Analysis'!M31</f>
        <v>Physical</v>
      </c>
      <c r="E32" s="28">
        <f>'Class Schedule Analysis'!P31</f>
        <v>46210</v>
      </c>
      <c r="F32" s="28">
        <f>'Class Schedule Analysis'!Q31</f>
        <v>46346</v>
      </c>
      <c r="G32" s="4">
        <f t="shared" si="5"/>
        <v>0</v>
      </c>
      <c r="H32" s="4">
        <f t="shared" si="5"/>
        <v>0</v>
      </c>
      <c r="I32" s="4">
        <f t="shared" si="5"/>
        <v>0</v>
      </c>
      <c r="J32" s="4">
        <f t="shared" si="5"/>
        <v>0</v>
      </c>
      <c r="K32" s="4">
        <f t="shared" si="5"/>
        <v>0</v>
      </c>
      <c r="L32" s="4">
        <f t="shared" si="5"/>
        <v>0</v>
      </c>
      <c r="M32" s="4">
        <f t="shared" si="5"/>
        <v>0</v>
      </c>
      <c r="N32" s="4">
        <f t="shared" si="5"/>
        <v>0</v>
      </c>
      <c r="O32" s="4">
        <f t="shared" si="5"/>
        <v>4</v>
      </c>
      <c r="P32" s="4">
        <f t="shared" si="5"/>
        <v>4</v>
      </c>
      <c r="Q32" s="4">
        <f t="shared" si="6"/>
        <v>5</v>
      </c>
      <c r="R32" s="4">
        <f t="shared" si="6"/>
        <v>4</v>
      </c>
      <c r="S32" s="4">
        <f t="shared" si="6"/>
        <v>3</v>
      </c>
      <c r="T32" s="4">
        <f t="shared" si="6"/>
        <v>0</v>
      </c>
      <c r="U32" s="4">
        <f t="shared" si="6"/>
        <v>0</v>
      </c>
      <c r="V32" s="4">
        <f t="shared" si="6"/>
        <v>0</v>
      </c>
      <c r="W32" s="4">
        <f t="shared" si="6"/>
        <v>0</v>
      </c>
      <c r="X32" s="4">
        <f t="shared" si="6"/>
        <v>0</v>
      </c>
      <c r="Y32" s="4">
        <f t="shared" si="6"/>
        <v>0</v>
      </c>
      <c r="Z32" s="4">
        <f t="shared" si="6"/>
        <v>0</v>
      </c>
      <c r="AA32" s="4">
        <f t="shared" si="6"/>
        <v>0</v>
      </c>
      <c r="AB32" s="4">
        <f t="shared" si="6"/>
        <v>0</v>
      </c>
    </row>
    <row r="33" spans="1:28" x14ac:dyDescent="0.25">
      <c r="A33" s="7">
        <f>'Class Schedule Analysis'!A32</f>
        <v>30</v>
      </c>
      <c r="B33" s="7">
        <f>'Class Schedule Analysis'!C32</f>
        <v>2</v>
      </c>
      <c r="C33" s="29" t="str">
        <f>'Class Schedule Analysis'!J32</f>
        <v>EAST 305</v>
      </c>
      <c r="D33" s="7" t="str">
        <f>'Class Schedule Analysis'!M32</f>
        <v>Physical</v>
      </c>
      <c r="E33" s="30">
        <f>'Class Schedule Analysis'!P32</f>
        <v>46216</v>
      </c>
      <c r="F33" s="30">
        <f>'Class Schedule Analysis'!Q32</f>
        <v>46630</v>
      </c>
      <c r="G33" s="7">
        <f t="shared" si="5"/>
        <v>0</v>
      </c>
      <c r="H33" s="7">
        <f t="shared" si="5"/>
        <v>0</v>
      </c>
      <c r="I33" s="7">
        <f t="shared" si="5"/>
        <v>0</v>
      </c>
      <c r="J33" s="7">
        <f t="shared" si="5"/>
        <v>0</v>
      </c>
      <c r="K33" s="7">
        <f t="shared" si="5"/>
        <v>0</v>
      </c>
      <c r="L33" s="7">
        <f t="shared" si="5"/>
        <v>0</v>
      </c>
      <c r="M33" s="7">
        <f t="shared" si="5"/>
        <v>0</v>
      </c>
      <c r="N33" s="7">
        <f t="shared" si="5"/>
        <v>0</v>
      </c>
      <c r="O33" s="7">
        <f t="shared" si="5"/>
        <v>3</v>
      </c>
      <c r="P33" s="7">
        <f t="shared" si="5"/>
        <v>4</v>
      </c>
      <c r="Q33" s="7">
        <f t="shared" si="6"/>
        <v>5</v>
      </c>
      <c r="R33" s="7">
        <f t="shared" si="6"/>
        <v>4</v>
      </c>
      <c r="S33" s="7">
        <f t="shared" si="6"/>
        <v>4</v>
      </c>
      <c r="T33" s="7">
        <f t="shared" si="6"/>
        <v>5</v>
      </c>
      <c r="U33" s="7">
        <f t="shared" si="6"/>
        <v>4</v>
      </c>
      <c r="V33" s="7">
        <f t="shared" si="6"/>
        <v>4</v>
      </c>
      <c r="W33" s="7">
        <f t="shared" si="6"/>
        <v>5</v>
      </c>
      <c r="X33" s="7">
        <f t="shared" si="6"/>
        <v>4</v>
      </c>
      <c r="Y33" s="7">
        <f t="shared" si="6"/>
        <v>4</v>
      </c>
      <c r="Z33" s="7">
        <f t="shared" si="6"/>
        <v>5</v>
      </c>
      <c r="AA33" s="7">
        <f t="shared" si="6"/>
        <v>4</v>
      </c>
      <c r="AB33" s="7">
        <f t="shared" si="6"/>
        <v>5</v>
      </c>
    </row>
    <row r="34" spans="1:28" x14ac:dyDescent="0.25">
      <c r="A34" s="4">
        <f>'Class Schedule Analysis'!A33</f>
        <v>31</v>
      </c>
      <c r="B34" s="4">
        <f>'Class Schedule Analysis'!C33</f>
        <v>2</v>
      </c>
      <c r="C34" s="23" t="str">
        <f>'Class Schedule Analysis'!J33</f>
        <v>WEST 102</v>
      </c>
      <c r="D34" s="4" t="str">
        <f>'Class Schedule Analysis'!M33</f>
        <v>Physical</v>
      </c>
      <c r="E34" s="28">
        <f>'Class Schedule Analysis'!P33</f>
        <v>46097</v>
      </c>
      <c r="F34" s="28">
        <f>'Class Schedule Analysis'!Q33</f>
        <v>46226</v>
      </c>
      <c r="G34" s="4">
        <f t="shared" ref="G34:P43" si="7">IF(OR($E34="",$F34=""),0,IF(MAX($E34,G$2)&gt;MIN($F34,G$3),0,INT((MIN($F34,G$3)-(MAX($E34,G$2)+MOD($B34-WEEKDAY(MAX($E34,G$2),2),7)))/7)+1))</f>
        <v>0</v>
      </c>
      <c r="H34" s="4">
        <f t="shared" si="7"/>
        <v>0</v>
      </c>
      <c r="I34" s="4">
        <f t="shared" si="7"/>
        <v>0</v>
      </c>
      <c r="J34" s="4">
        <f t="shared" si="7"/>
        <v>0</v>
      </c>
      <c r="K34" s="4">
        <f t="shared" si="7"/>
        <v>3</v>
      </c>
      <c r="L34" s="4">
        <f t="shared" si="7"/>
        <v>4</v>
      </c>
      <c r="M34" s="4">
        <f t="shared" si="7"/>
        <v>4</v>
      </c>
      <c r="N34" s="4">
        <f t="shared" si="7"/>
        <v>5</v>
      </c>
      <c r="O34" s="4">
        <f t="shared" si="7"/>
        <v>3</v>
      </c>
      <c r="P34" s="4">
        <f t="shared" si="7"/>
        <v>0</v>
      </c>
      <c r="Q34" s="4">
        <f t="shared" ref="Q34:AB43" si="8">IF(OR($E34="",$F34=""),0,IF(MAX($E34,Q$2)&gt;MIN($F34,Q$3),0,INT((MIN($F34,Q$3)-(MAX($E34,Q$2)+MOD($B34-WEEKDAY(MAX($E34,Q$2),2),7)))/7)+1))</f>
        <v>0</v>
      </c>
      <c r="R34" s="4">
        <f t="shared" si="8"/>
        <v>0</v>
      </c>
      <c r="S34" s="4">
        <f t="shared" si="8"/>
        <v>0</v>
      </c>
      <c r="T34" s="4">
        <f t="shared" si="8"/>
        <v>0</v>
      </c>
      <c r="U34" s="4">
        <f t="shared" si="8"/>
        <v>0</v>
      </c>
      <c r="V34" s="4">
        <f t="shared" si="8"/>
        <v>0</v>
      </c>
      <c r="W34" s="4">
        <f t="shared" si="8"/>
        <v>0</v>
      </c>
      <c r="X34" s="4">
        <f t="shared" si="8"/>
        <v>0</v>
      </c>
      <c r="Y34" s="4">
        <f t="shared" si="8"/>
        <v>0</v>
      </c>
      <c r="Z34" s="4">
        <f t="shared" si="8"/>
        <v>0</v>
      </c>
      <c r="AA34" s="4">
        <f t="shared" si="8"/>
        <v>0</v>
      </c>
      <c r="AB34" s="4">
        <f t="shared" si="8"/>
        <v>0</v>
      </c>
    </row>
    <row r="35" spans="1:28" x14ac:dyDescent="0.25">
      <c r="A35" s="7">
        <f>'Class Schedule Analysis'!A34</f>
        <v>32</v>
      </c>
      <c r="B35" s="7">
        <f>'Class Schedule Analysis'!C34</f>
        <v>2</v>
      </c>
      <c r="C35" s="29" t="str">
        <f>'Class Schedule Analysis'!J34</f>
        <v>WEST 002</v>
      </c>
      <c r="D35" s="7" t="str">
        <f>'Class Schedule Analysis'!M34</f>
        <v>Hybrid</v>
      </c>
      <c r="E35" s="30">
        <f>'Class Schedule Analysis'!P34</f>
        <v>46153</v>
      </c>
      <c r="F35" s="30">
        <f>'Class Schedule Analysis'!Q34</f>
        <v>46251</v>
      </c>
      <c r="G35" s="7">
        <f t="shared" si="7"/>
        <v>0</v>
      </c>
      <c r="H35" s="7">
        <f t="shared" si="7"/>
        <v>0</v>
      </c>
      <c r="I35" s="7">
        <f t="shared" si="7"/>
        <v>0</v>
      </c>
      <c r="J35" s="7">
        <f t="shared" si="7"/>
        <v>0</v>
      </c>
      <c r="K35" s="7">
        <f t="shared" si="7"/>
        <v>0</v>
      </c>
      <c r="L35" s="7">
        <f t="shared" si="7"/>
        <v>0</v>
      </c>
      <c r="M35" s="7">
        <f t="shared" si="7"/>
        <v>3</v>
      </c>
      <c r="N35" s="7">
        <f t="shared" si="7"/>
        <v>5</v>
      </c>
      <c r="O35" s="7">
        <f t="shared" si="7"/>
        <v>4</v>
      </c>
      <c r="P35" s="7">
        <f t="shared" si="7"/>
        <v>2</v>
      </c>
      <c r="Q35" s="7">
        <f t="shared" si="8"/>
        <v>0</v>
      </c>
      <c r="R35" s="7">
        <f t="shared" si="8"/>
        <v>0</v>
      </c>
      <c r="S35" s="7">
        <f t="shared" si="8"/>
        <v>0</v>
      </c>
      <c r="T35" s="7">
        <f t="shared" si="8"/>
        <v>0</v>
      </c>
      <c r="U35" s="7">
        <f t="shared" si="8"/>
        <v>0</v>
      </c>
      <c r="V35" s="7">
        <f t="shared" si="8"/>
        <v>0</v>
      </c>
      <c r="W35" s="7">
        <f t="shared" si="8"/>
        <v>0</v>
      </c>
      <c r="X35" s="7">
        <f t="shared" si="8"/>
        <v>0</v>
      </c>
      <c r="Y35" s="7">
        <f t="shared" si="8"/>
        <v>0</v>
      </c>
      <c r="Z35" s="7">
        <f t="shared" si="8"/>
        <v>0</v>
      </c>
      <c r="AA35" s="7">
        <f t="shared" si="8"/>
        <v>0</v>
      </c>
      <c r="AB35" s="7">
        <f t="shared" si="8"/>
        <v>0</v>
      </c>
    </row>
    <row r="36" spans="1:28" x14ac:dyDescent="0.25">
      <c r="A36" s="4">
        <f>'Class Schedule Analysis'!A35</f>
        <v>33</v>
      </c>
      <c r="B36" s="4">
        <f>'Class Schedule Analysis'!C35</f>
        <v>2</v>
      </c>
      <c r="C36" s="23" t="str">
        <f>'Class Schedule Analysis'!J35</f>
        <v>WEST 003</v>
      </c>
      <c r="D36" s="4" t="str">
        <f>'Class Schedule Analysis'!M35</f>
        <v>Physical</v>
      </c>
      <c r="E36" s="28">
        <f>'Class Schedule Analysis'!P35</f>
        <v>46216</v>
      </c>
      <c r="F36" s="28">
        <f>'Class Schedule Analysis'!Q35</f>
        <v>46370</v>
      </c>
      <c r="G36" s="4">
        <f t="shared" si="7"/>
        <v>0</v>
      </c>
      <c r="H36" s="4">
        <f t="shared" si="7"/>
        <v>0</v>
      </c>
      <c r="I36" s="4">
        <f t="shared" si="7"/>
        <v>0</v>
      </c>
      <c r="J36" s="4">
        <f t="shared" si="7"/>
        <v>0</v>
      </c>
      <c r="K36" s="4">
        <f t="shared" si="7"/>
        <v>0</v>
      </c>
      <c r="L36" s="4">
        <f t="shared" si="7"/>
        <v>0</v>
      </c>
      <c r="M36" s="4">
        <f t="shared" si="7"/>
        <v>0</v>
      </c>
      <c r="N36" s="4">
        <f t="shared" si="7"/>
        <v>0</v>
      </c>
      <c r="O36" s="4">
        <f t="shared" si="7"/>
        <v>3</v>
      </c>
      <c r="P36" s="4">
        <f t="shared" si="7"/>
        <v>4</v>
      </c>
      <c r="Q36" s="4">
        <f t="shared" si="8"/>
        <v>5</v>
      </c>
      <c r="R36" s="4">
        <f t="shared" si="8"/>
        <v>4</v>
      </c>
      <c r="S36" s="4">
        <f t="shared" si="8"/>
        <v>4</v>
      </c>
      <c r="T36" s="4">
        <f t="shared" si="8"/>
        <v>2</v>
      </c>
      <c r="U36" s="4">
        <f t="shared" si="8"/>
        <v>0</v>
      </c>
      <c r="V36" s="4">
        <f t="shared" si="8"/>
        <v>0</v>
      </c>
      <c r="W36" s="4">
        <f t="shared" si="8"/>
        <v>0</v>
      </c>
      <c r="X36" s="4">
        <f t="shared" si="8"/>
        <v>0</v>
      </c>
      <c r="Y36" s="4">
        <f t="shared" si="8"/>
        <v>0</v>
      </c>
      <c r="Z36" s="4">
        <f t="shared" si="8"/>
        <v>0</v>
      </c>
      <c r="AA36" s="4">
        <f t="shared" si="8"/>
        <v>0</v>
      </c>
      <c r="AB36" s="4">
        <f t="shared" si="8"/>
        <v>0</v>
      </c>
    </row>
    <row r="37" spans="1:28" x14ac:dyDescent="0.25">
      <c r="A37" s="7">
        <f>'Class Schedule Analysis'!A36</f>
        <v>34</v>
      </c>
      <c r="B37" s="7">
        <f>'Class Schedule Analysis'!C36</f>
        <v>2</v>
      </c>
      <c r="C37" s="29" t="str">
        <f>'Class Schedule Analysis'!J36</f>
        <v>EAST 305</v>
      </c>
      <c r="D37" s="7" t="str">
        <f>'Class Schedule Analysis'!M36</f>
        <v>Physical</v>
      </c>
      <c r="E37" s="30">
        <f>'Class Schedule Analysis'!P36</f>
        <v>46216</v>
      </c>
      <c r="F37" s="30">
        <f>'Class Schedule Analysis'!Q36</f>
        <v>46630</v>
      </c>
      <c r="G37" s="7">
        <f t="shared" si="7"/>
        <v>0</v>
      </c>
      <c r="H37" s="7">
        <f t="shared" si="7"/>
        <v>0</v>
      </c>
      <c r="I37" s="7">
        <f t="shared" si="7"/>
        <v>0</v>
      </c>
      <c r="J37" s="7">
        <f t="shared" si="7"/>
        <v>0</v>
      </c>
      <c r="K37" s="7">
        <f t="shared" si="7"/>
        <v>0</v>
      </c>
      <c r="L37" s="7">
        <f t="shared" si="7"/>
        <v>0</v>
      </c>
      <c r="M37" s="7">
        <f t="shared" si="7"/>
        <v>0</v>
      </c>
      <c r="N37" s="7">
        <f t="shared" si="7"/>
        <v>0</v>
      </c>
      <c r="O37" s="7">
        <f t="shared" si="7"/>
        <v>3</v>
      </c>
      <c r="P37" s="7">
        <f t="shared" si="7"/>
        <v>4</v>
      </c>
      <c r="Q37" s="7">
        <f t="shared" si="8"/>
        <v>5</v>
      </c>
      <c r="R37" s="7">
        <f t="shared" si="8"/>
        <v>4</v>
      </c>
      <c r="S37" s="7">
        <f t="shared" si="8"/>
        <v>4</v>
      </c>
      <c r="T37" s="7">
        <f t="shared" si="8"/>
        <v>5</v>
      </c>
      <c r="U37" s="7">
        <f t="shared" si="8"/>
        <v>4</v>
      </c>
      <c r="V37" s="7">
        <f t="shared" si="8"/>
        <v>4</v>
      </c>
      <c r="W37" s="7">
        <f t="shared" si="8"/>
        <v>5</v>
      </c>
      <c r="X37" s="7">
        <f t="shared" si="8"/>
        <v>4</v>
      </c>
      <c r="Y37" s="7">
        <f t="shared" si="8"/>
        <v>4</v>
      </c>
      <c r="Z37" s="7">
        <f t="shared" si="8"/>
        <v>5</v>
      </c>
      <c r="AA37" s="7">
        <f t="shared" si="8"/>
        <v>4</v>
      </c>
      <c r="AB37" s="7">
        <f t="shared" si="8"/>
        <v>5</v>
      </c>
    </row>
    <row r="38" spans="1:28" x14ac:dyDescent="0.25">
      <c r="A38" s="4">
        <f>'Class Schedule Analysis'!A37</f>
        <v>35</v>
      </c>
      <c r="B38" s="4">
        <f>'Class Schedule Analysis'!C37</f>
        <v>2</v>
      </c>
      <c r="C38" s="23" t="str">
        <f>'Class Schedule Analysis'!J37</f>
        <v>EAST 306</v>
      </c>
      <c r="D38" s="4" t="str">
        <f>'Class Schedule Analysis'!M37</f>
        <v>Physical</v>
      </c>
      <c r="E38" s="28">
        <f>'Class Schedule Analysis'!P37</f>
        <v>46097</v>
      </c>
      <c r="F38" s="28">
        <f>'Class Schedule Analysis'!Q37</f>
        <v>46226</v>
      </c>
      <c r="G38" s="4">
        <f t="shared" si="7"/>
        <v>0</v>
      </c>
      <c r="H38" s="4">
        <f t="shared" si="7"/>
        <v>0</v>
      </c>
      <c r="I38" s="4">
        <f t="shared" si="7"/>
        <v>0</v>
      </c>
      <c r="J38" s="4">
        <f t="shared" si="7"/>
        <v>0</v>
      </c>
      <c r="K38" s="4">
        <f t="shared" si="7"/>
        <v>3</v>
      </c>
      <c r="L38" s="4">
        <f t="shared" si="7"/>
        <v>4</v>
      </c>
      <c r="M38" s="4">
        <f t="shared" si="7"/>
        <v>4</v>
      </c>
      <c r="N38" s="4">
        <f t="shared" si="7"/>
        <v>5</v>
      </c>
      <c r="O38" s="4">
        <f t="shared" si="7"/>
        <v>3</v>
      </c>
      <c r="P38" s="4">
        <f t="shared" si="7"/>
        <v>0</v>
      </c>
      <c r="Q38" s="4">
        <f t="shared" si="8"/>
        <v>0</v>
      </c>
      <c r="R38" s="4">
        <f t="shared" si="8"/>
        <v>0</v>
      </c>
      <c r="S38" s="4">
        <f t="shared" si="8"/>
        <v>0</v>
      </c>
      <c r="T38" s="4">
        <f t="shared" si="8"/>
        <v>0</v>
      </c>
      <c r="U38" s="4">
        <f t="shared" si="8"/>
        <v>0</v>
      </c>
      <c r="V38" s="4">
        <f t="shared" si="8"/>
        <v>0</v>
      </c>
      <c r="W38" s="4">
        <f t="shared" si="8"/>
        <v>0</v>
      </c>
      <c r="X38" s="4">
        <f t="shared" si="8"/>
        <v>0</v>
      </c>
      <c r="Y38" s="4">
        <f t="shared" si="8"/>
        <v>0</v>
      </c>
      <c r="Z38" s="4">
        <f t="shared" si="8"/>
        <v>0</v>
      </c>
      <c r="AA38" s="4">
        <f t="shared" si="8"/>
        <v>0</v>
      </c>
      <c r="AB38" s="4">
        <f t="shared" si="8"/>
        <v>0</v>
      </c>
    </row>
    <row r="39" spans="1:28" x14ac:dyDescent="0.25">
      <c r="A39" s="7">
        <f>'Class Schedule Analysis'!A38</f>
        <v>36</v>
      </c>
      <c r="B39" s="7">
        <f>'Class Schedule Analysis'!C38</f>
        <v>3</v>
      </c>
      <c r="C39" s="29" t="str">
        <f>'Class Schedule Analysis'!J38</f>
        <v>WEST 101</v>
      </c>
      <c r="D39" s="7" t="str">
        <f>'Class Schedule Analysis'!M38</f>
        <v>Physical</v>
      </c>
      <c r="E39" s="30">
        <f>'Class Schedule Analysis'!P38</f>
        <v>46111</v>
      </c>
      <c r="F39" s="30">
        <f>'Class Schedule Analysis'!Q38</f>
        <v>46233</v>
      </c>
      <c r="G39" s="7">
        <f t="shared" si="7"/>
        <v>0</v>
      </c>
      <c r="H39" s="7">
        <f t="shared" si="7"/>
        <v>0</v>
      </c>
      <c r="I39" s="7">
        <f t="shared" si="7"/>
        <v>0</v>
      </c>
      <c r="J39" s="7">
        <f t="shared" si="7"/>
        <v>0</v>
      </c>
      <c r="K39" s="7">
        <f t="shared" si="7"/>
        <v>0</v>
      </c>
      <c r="L39" s="7">
        <f t="shared" si="7"/>
        <v>5</v>
      </c>
      <c r="M39" s="7">
        <f t="shared" si="7"/>
        <v>4</v>
      </c>
      <c r="N39" s="7">
        <f t="shared" si="7"/>
        <v>4</v>
      </c>
      <c r="O39" s="7">
        <f t="shared" si="7"/>
        <v>5</v>
      </c>
      <c r="P39" s="7">
        <f t="shared" si="7"/>
        <v>0</v>
      </c>
      <c r="Q39" s="7">
        <f t="shared" si="8"/>
        <v>0</v>
      </c>
      <c r="R39" s="7">
        <f t="shared" si="8"/>
        <v>0</v>
      </c>
      <c r="S39" s="7">
        <f t="shared" si="8"/>
        <v>0</v>
      </c>
      <c r="T39" s="7">
        <f t="shared" si="8"/>
        <v>0</v>
      </c>
      <c r="U39" s="7">
        <f t="shared" si="8"/>
        <v>0</v>
      </c>
      <c r="V39" s="7">
        <f t="shared" si="8"/>
        <v>0</v>
      </c>
      <c r="W39" s="7">
        <f t="shared" si="8"/>
        <v>0</v>
      </c>
      <c r="X39" s="7">
        <f t="shared" si="8"/>
        <v>0</v>
      </c>
      <c r="Y39" s="7">
        <f t="shared" si="8"/>
        <v>0</v>
      </c>
      <c r="Z39" s="7">
        <f t="shared" si="8"/>
        <v>0</v>
      </c>
      <c r="AA39" s="7">
        <f t="shared" si="8"/>
        <v>0</v>
      </c>
      <c r="AB39" s="7">
        <f t="shared" si="8"/>
        <v>0</v>
      </c>
    </row>
    <row r="40" spans="1:28" x14ac:dyDescent="0.25">
      <c r="A40" s="4">
        <f>'Class Schedule Analysis'!A39</f>
        <v>37</v>
      </c>
      <c r="B40" s="4">
        <f>'Class Schedule Analysis'!C39</f>
        <v>3</v>
      </c>
      <c r="C40" s="23" t="str">
        <f>'Class Schedule Analysis'!J39</f>
        <v>WEST 102</v>
      </c>
      <c r="D40" s="4" t="str">
        <f>'Class Schedule Analysis'!M39</f>
        <v>Physical</v>
      </c>
      <c r="E40" s="28">
        <f>'Class Schedule Analysis'!P39</f>
        <v>46216</v>
      </c>
      <c r="F40" s="28">
        <f>'Class Schedule Analysis'!Q39</f>
        <v>46370</v>
      </c>
      <c r="G40" s="4">
        <f t="shared" si="7"/>
        <v>0</v>
      </c>
      <c r="H40" s="4">
        <f t="shared" si="7"/>
        <v>0</v>
      </c>
      <c r="I40" s="4">
        <f t="shared" si="7"/>
        <v>0</v>
      </c>
      <c r="J40" s="4">
        <f t="shared" si="7"/>
        <v>0</v>
      </c>
      <c r="K40" s="4">
        <f t="shared" si="7"/>
        <v>0</v>
      </c>
      <c r="L40" s="4">
        <f t="shared" si="7"/>
        <v>0</v>
      </c>
      <c r="M40" s="4">
        <f t="shared" si="7"/>
        <v>0</v>
      </c>
      <c r="N40" s="4">
        <f t="shared" si="7"/>
        <v>0</v>
      </c>
      <c r="O40" s="4">
        <f t="shared" si="7"/>
        <v>3</v>
      </c>
      <c r="P40" s="4">
        <f t="shared" si="7"/>
        <v>4</v>
      </c>
      <c r="Q40" s="4">
        <f t="shared" si="8"/>
        <v>5</v>
      </c>
      <c r="R40" s="4">
        <f t="shared" si="8"/>
        <v>4</v>
      </c>
      <c r="S40" s="4">
        <f t="shared" si="8"/>
        <v>4</v>
      </c>
      <c r="T40" s="4">
        <f t="shared" si="8"/>
        <v>2</v>
      </c>
      <c r="U40" s="4">
        <f t="shared" si="8"/>
        <v>0</v>
      </c>
      <c r="V40" s="4">
        <f t="shared" si="8"/>
        <v>0</v>
      </c>
      <c r="W40" s="4">
        <f t="shared" si="8"/>
        <v>0</v>
      </c>
      <c r="X40" s="4">
        <f t="shared" si="8"/>
        <v>0</v>
      </c>
      <c r="Y40" s="4">
        <f t="shared" si="8"/>
        <v>0</v>
      </c>
      <c r="Z40" s="4">
        <f t="shared" si="8"/>
        <v>0</v>
      </c>
      <c r="AA40" s="4">
        <f t="shared" si="8"/>
        <v>0</v>
      </c>
      <c r="AB40" s="4">
        <f t="shared" si="8"/>
        <v>0</v>
      </c>
    </row>
    <row r="41" spans="1:28" x14ac:dyDescent="0.25">
      <c r="A41" s="7">
        <f>'Class Schedule Analysis'!A40</f>
        <v>38</v>
      </c>
      <c r="B41" s="7">
        <f>'Class Schedule Analysis'!C40</f>
        <v>3</v>
      </c>
      <c r="C41" s="29" t="str">
        <f>'Class Schedule Analysis'!J40</f>
        <v>WEST 002</v>
      </c>
      <c r="D41" s="7" t="str">
        <f>'Class Schedule Analysis'!M40</f>
        <v>Physical</v>
      </c>
      <c r="E41" s="30">
        <f>'Class Schedule Analysis'!P40</f>
        <v>46216</v>
      </c>
      <c r="F41" s="30">
        <f>'Class Schedule Analysis'!Q40</f>
        <v>46630</v>
      </c>
      <c r="G41" s="7">
        <f t="shared" si="7"/>
        <v>0</v>
      </c>
      <c r="H41" s="7">
        <f t="shared" si="7"/>
        <v>0</v>
      </c>
      <c r="I41" s="7">
        <f t="shared" si="7"/>
        <v>0</v>
      </c>
      <c r="J41" s="7">
        <f t="shared" si="7"/>
        <v>0</v>
      </c>
      <c r="K41" s="7">
        <f t="shared" si="7"/>
        <v>0</v>
      </c>
      <c r="L41" s="7">
        <f t="shared" si="7"/>
        <v>0</v>
      </c>
      <c r="M41" s="7">
        <f t="shared" si="7"/>
        <v>0</v>
      </c>
      <c r="N41" s="7">
        <f t="shared" si="7"/>
        <v>0</v>
      </c>
      <c r="O41" s="7">
        <f t="shared" si="7"/>
        <v>3</v>
      </c>
      <c r="P41" s="7">
        <f t="shared" si="7"/>
        <v>4</v>
      </c>
      <c r="Q41" s="7">
        <f t="shared" si="8"/>
        <v>5</v>
      </c>
      <c r="R41" s="7">
        <f t="shared" si="8"/>
        <v>4</v>
      </c>
      <c r="S41" s="7">
        <f t="shared" si="8"/>
        <v>4</v>
      </c>
      <c r="T41" s="7">
        <f t="shared" si="8"/>
        <v>5</v>
      </c>
      <c r="U41" s="7">
        <f t="shared" si="8"/>
        <v>4</v>
      </c>
      <c r="V41" s="7">
        <f t="shared" si="8"/>
        <v>4</v>
      </c>
      <c r="W41" s="7">
        <f t="shared" si="8"/>
        <v>5</v>
      </c>
      <c r="X41" s="7">
        <f t="shared" si="8"/>
        <v>4</v>
      </c>
      <c r="Y41" s="7">
        <f t="shared" si="8"/>
        <v>4</v>
      </c>
      <c r="Z41" s="7">
        <f t="shared" si="8"/>
        <v>5</v>
      </c>
      <c r="AA41" s="7">
        <f t="shared" si="8"/>
        <v>4</v>
      </c>
      <c r="AB41" s="7">
        <f t="shared" si="8"/>
        <v>4</v>
      </c>
    </row>
    <row r="42" spans="1:28" x14ac:dyDescent="0.25">
      <c r="A42" s="4">
        <f>'Class Schedule Analysis'!A41</f>
        <v>39</v>
      </c>
      <c r="B42" s="4">
        <f>'Class Schedule Analysis'!C41</f>
        <v>3</v>
      </c>
      <c r="C42" s="23" t="str">
        <f>'Class Schedule Analysis'!J41</f>
        <v>WEST 005</v>
      </c>
      <c r="D42" s="4" t="str">
        <f>'Class Schedule Analysis'!M41</f>
        <v>Physical</v>
      </c>
      <c r="E42" s="28">
        <f>'Class Schedule Analysis'!P41</f>
        <v>46097</v>
      </c>
      <c r="F42" s="28">
        <f>'Class Schedule Analysis'!Q41</f>
        <v>46226</v>
      </c>
      <c r="G42" s="4">
        <f t="shared" si="7"/>
        <v>0</v>
      </c>
      <c r="H42" s="4">
        <f t="shared" si="7"/>
        <v>0</v>
      </c>
      <c r="I42" s="4">
        <f t="shared" si="7"/>
        <v>0</v>
      </c>
      <c r="J42" s="4">
        <f t="shared" si="7"/>
        <v>0</v>
      </c>
      <c r="K42" s="4">
        <f t="shared" si="7"/>
        <v>2</v>
      </c>
      <c r="L42" s="4">
        <f t="shared" si="7"/>
        <v>5</v>
      </c>
      <c r="M42" s="4">
        <f t="shared" si="7"/>
        <v>4</v>
      </c>
      <c r="N42" s="4">
        <f t="shared" si="7"/>
        <v>4</v>
      </c>
      <c r="O42" s="4">
        <f t="shared" si="7"/>
        <v>4</v>
      </c>
      <c r="P42" s="4">
        <f t="shared" si="7"/>
        <v>0</v>
      </c>
      <c r="Q42" s="4">
        <f t="shared" si="8"/>
        <v>0</v>
      </c>
      <c r="R42" s="4">
        <f t="shared" si="8"/>
        <v>0</v>
      </c>
      <c r="S42" s="4">
        <f t="shared" si="8"/>
        <v>0</v>
      </c>
      <c r="T42" s="4">
        <f t="shared" si="8"/>
        <v>0</v>
      </c>
      <c r="U42" s="4">
        <f t="shared" si="8"/>
        <v>0</v>
      </c>
      <c r="V42" s="4">
        <f t="shared" si="8"/>
        <v>0</v>
      </c>
      <c r="W42" s="4">
        <f t="shared" si="8"/>
        <v>0</v>
      </c>
      <c r="X42" s="4">
        <f t="shared" si="8"/>
        <v>0</v>
      </c>
      <c r="Y42" s="4">
        <f t="shared" si="8"/>
        <v>0</v>
      </c>
      <c r="Z42" s="4">
        <f t="shared" si="8"/>
        <v>0</v>
      </c>
      <c r="AA42" s="4">
        <f t="shared" si="8"/>
        <v>0</v>
      </c>
      <c r="AB42" s="4">
        <f t="shared" si="8"/>
        <v>0</v>
      </c>
    </row>
    <row r="43" spans="1:28" x14ac:dyDescent="0.25">
      <c r="A43" s="7">
        <f>'Class Schedule Analysis'!A42</f>
        <v>40</v>
      </c>
      <c r="B43" s="7">
        <f>'Class Schedule Analysis'!C42</f>
        <v>3</v>
      </c>
      <c r="C43" s="29" t="str">
        <f>'Class Schedule Analysis'!J42</f>
        <v>TECH 001</v>
      </c>
      <c r="D43" s="7" t="str">
        <f>'Class Schedule Analysis'!M42</f>
        <v>Physical</v>
      </c>
      <c r="E43" s="30">
        <f>'Class Schedule Analysis'!P42</f>
        <v>46216</v>
      </c>
      <c r="F43" s="30">
        <f>'Class Schedule Analysis'!Q42</f>
        <v>46328</v>
      </c>
      <c r="G43" s="7">
        <f t="shared" si="7"/>
        <v>0</v>
      </c>
      <c r="H43" s="7">
        <f t="shared" si="7"/>
        <v>0</v>
      </c>
      <c r="I43" s="7">
        <f t="shared" si="7"/>
        <v>0</v>
      </c>
      <c r="J43" s="7">
        <f t="shared" si="7"/>
        <v>0</v>
      </c>
      <c r="K43" s="7">
        <f t="shared" si="7"/>
        <v>0</v>
      </c>
      <c r="L43" s="7">
        <f t="shared" si="7"/>
        <v>0</v>
      </c>
      <c r="M43" s="7">
        <f t="shared" si="7"/>
        <v>0</v>
      </c>
      <c r="N43" s="7">
        <f t="shared" si="7"/>
        <v>0</v>
      </c>
      <c r="O43" s="7">
        <f t="shared" si="7"/>
        <v>3</v>
      </c>
      <c r="P43" s="7">
        <f t="shared" si="7"/>
        <v>4</v>
      </c>
      <c r="Q43" s="7">
        <f t="shared" si="8"/>
        <v>5</v>
      </c>
      <c r="R43" s="7">
        <f t="shared" si="8"/>
        <v>4</v>
      </c>
      <c r="S43" s="7">
        <f t="shared" si="8"/>
        <v>0</v>
      </c>
      <c r="T43" s="7">
        <f t="shared" si="8"/>
        <v>0</v>
      </c>
      <c r="U43" s="7">
        <f t="shared" si="8"/>
        <v>0</v>
      </c>
      <c r="V43" s="7">
        <f t="shared" si="8"/>
        <v>0</v>
      </c>
      <c r="W43" s="7">
        <f t="shared" si="8"/>
        <v>0</v>
      </c>
      <c r="X43" s="7">
        <f t="shared" si="8"/>
        <v>0</v>
      </c>
      <c r="Y43" s="7">
        <f t="shared" si="8"/>
        <v>0</v>
      </c>
      <c r="Z43" s="7">
        <f t="shared" si="8"/>
        <v>0</v>
      </c>
      <c r="AA43" s="7">
        <f t="shared" si="8"/>
        <v>0</v>
      </c>
      <c r="AB43" s="7">
        <f t="shared" si="8"/>
        <v>0</v>
      </c>
    </row>
    <row r="44" spans="1:28" x14ac:dyDescent="0.25">
      <c r="A44" s="4">
        <f>'Class Schedule Analysis'!A43</f>
        <v>41</v>
      </c>
      <c r="B44" s="4">
        <f>'Class Schedule Analysis'!C43</f>
        <v>3</v>
      </c>
      <c r="C44" s="23" t="str">
        <f>'Class Schedule Analysis'!J43</f>
        <v>TECH 002</v>
      </c>
      <c r="D44" s="4" t="str">
        <f>'Class Schedule Analysis'!M43</f>
        <v>Physical</v>
      </c>
      <c r="E44" s="28">
        <f>'Class Schedule Analysis'!P43</f>
        <v>46139</v>
      </c>
      <c r="F44" s="28">
        <f>'Class Schedule Analysis'!Q43</f>
        <v>46314</v>
      </c>
      <c r="G44" s="4">
        <f t="shared" ref="G44:P53" si="9">IF(OR($E44="",$F44=""),0,IF(MAX($E44,G$2)&gt;MIN($F44,G$3),0,INT((MIN($F44,G$3)-(MAX($E44,G$2)+MOD($B44-WEEKDAY(MAX($E44,G$2),2),7)))/7)+1))</f>
        <v>0</v>
      </c>
      <c r="H44" s="4">
        <f t="shared" si="9"/>
        <v>0</v>
      </c>
      <c r="I44" s="4">
        <f t="shared" si="9"/>
        <v>0</v>
      </c>
      <c r="J44" s="4">
        <f t="shared" si="9"/>
        <v>0</v>
      </c>
      <c r="K44" s="4">
        <f t="shared" si="9"/>
        <v>0</v>
      </c>
      <c r="L44" s="4">
        <f t="shared" si="9"/>
        <v>1</v>
      </c>
      <c r="M44" s="4">
        <f t="shared" si="9"/>
        <v>4</v>
      </c>
      <c r="N44" s="4">
        <f t="shared" si="9"/>
        <v>4</v>
      </c>
      <c r="O44" s="4">
        <f t="shared" si="9"/>
        <v>5</v>
      </c>
      <c r="P44" s="4">
        <f t="shared" si="9"/>
        <v>4</v>
      </c>
      <c r="Q44" s="4">
        <f t="shared" ref="Q44:AB53" si="10">IF(OR($E44="",$F44=""),0,IF(MAX($E44,Q$2)&gt;MIN($F44,Q$3),0,INT((MIN($F44,Q$3)-(MAX($E44,Q$2)+MOD($B44-WEEKDAY(MAX($E44,Q$2),2),7)))/7)+1))</f>
        <v>5</v>
      </c>
      <c r="R44" s="4">
        <f t="shared" si="10"/>
        <v>2</v>
      </c>
      <c r="S44" s="4">
        <f t="shared" si="10"/>
        <v>0</v>
      </c>
      <c r="T44" s="4">
        <f t="shared" si="10"/>
        <v>0</v>
      </c>
      <c r="U44" s="4">
        <f t="shared" si="10"/>
        <v>0</v>
      </c>
      <c r="V44" s="4">
        <f t="shared" si="10"/>
        <v>0</v>
      </c>
      <c r="W44" s="4">
        <f t="shared" si="10"/>
        <v>0</v>
      </c>
      <c r="X44" s="4">
        <f t="shared" si="10"/>
        <v>0</v>
      </c>
      <c r="Y44" s="4">
        <f t="shared" si="10"/>
        <v>0</v>
      </c>
      <c r="Z44" s="4">
        <f t="shared" si="10"/>
        <v>0</v>
      </c>
      <c r="AA44" s="4">
        <f t="shared" si="10"/>
        <v>0</v>
      </c>
      <c r="AB44" s="4">
        <f t="shared" si="10"/>
        <v>0</v>
      </c>
    </row>
    <row r="45" spans="1:28" x14ac:dyDescent="0.25">
      <c r="A45" s="7">
        <f>'Class Schedule Analysis'!A44</f>
        <v>42</v>
      </c>
      <c r="B45" s="7">
        <f>'Class Schedule Analysis'!C44</f>
        <v>3</v>
      </c>
      <c r="C45" s="29" t="str">
        <f>'Class Schedule Analysis'!J44</f>
        <v>TECH 003</v>
      </c>
      <c r="D45" s="7" t="str">
        <f>'Class Schedule Analysis'!M44</f>
        <v>Physical</v>
      </c>
      <c r="E45" s="30">
        <f>'Class Schedule Analysis'!P44</f>
        <v>46216</v>
      </c>
      <c r="F45" s="30">
        <f>'Class Schedule Analysis'!Q44</f>
        <v>46370</v>
      </c>
      <c r="G45" s="7">
        <f t="shared" si="9"/>
        <v>0</v>
      </c>
      <c r="H45" s="7">
        <f t="shared" si="9"/>
        <v>0</v>
      </c>
      <c r="I45" s="7">
        <f t="shared" si="9"/>
        <v>0</v>
      </c>
      <c r="J45" s="7">
        <f t="shared" si="9"/>
        <v>0</v>
      </c>
      <c r="K45" s="7">
        <f t="shared" si="9"/>
        <v>0</v>
      </c>
      <c r="L45" s="7">
        <f t="shared" si="9"/>
        <v>0</v>
      </c>
      <c r="M45" s="7">
        <f t="shared" si="9"/>
        <v>0</v>
      </c>
      <c r="N45" s="7">
        <f t="shared" si="9"/>
        <v>0</v>
      </c>
      <c r="O45" s="7">
        <f t="shared" si="9"/>
        <v>3</v>
      </c>
      <c r="P45" s="7">
        <f t="shared" si="9"/>
        <v>4</v>
      </c>
      <c r="Q45" s="7">
        <f t="shared" si="10"/>
        <v>5</v>
      </c>
      <c r="R45" s="7">
        <f t="shared" si="10"/>
        <v>4</v>
      </c>
      <c r="S45" s="7">
        <f t="shared" si="10"/>
        <v>4</v>
      </c>
      <c r="T45" s="7">
        <f t="shared" si="10"/>
        <v>2</v>
      </c>
      <c r="U45" s="7">
        <f t="shared" si="10"/>
        <v>0</v>
      </c>
      <c r="V45" s="7">
        <f t="shared" si="10"/>
        <v>0</v>
      </c>
      <c r="W45" s="7">
        <f t="shared" si="10"/>
        <v>0</v>
      </c>
      <c r="X45" s="7">
        <f t="shared" si="10"/>
        <v>0</v>
      </c>
      <c r="Y45" s="7">
        <f t="shared" si="10"/>
        <v>0</v>
      </c>
      <c r="Z45" s="7">
        <f t="shared" si="10"/>
        <v>0</v>
      </c>
      <c r="AA45" s="7">
        <f t="shared" si="10"/>
        <v>0</v>
      </c>
      <c r="AB45" s="7">
        <f t="shared" si="10"/>
        <v>0</v>
      </c>
    </row>
    <row r="46" spans="1:28" x14ac:dyDescent="0.25">
      <c r="A46" s="4">
        <f>'Class Schedule Analysis'!A45</f>
        <v>43</v>
      </c>
      <c r="B46" s="4">
        <f>'Class Schedule Analysis'!C45</f>
        <v>3</v>
      </c>
      <c r="C46" s="23" t="str">
        <f>'Class Schedule Analysis'!J45</f>
        <v>EAST 304</v>
      </c>
      <c r="D46" s="4" t="str">
        <f>'Class Schedule Analysis'!M45</f>
        <v>Physical</v>
      </c>
      <c r="E46" s="28">
        <f>'Class Schedule Analysis'!P45</f>
        <v>46147</v>
      </c>
      <c r="F46" s="28">
        <f>'Class Schedule Analysis'!Q45</f>
        <v>46259</v>
      </c>
      <c r="G46" s="4">
        <f t="shared" si="9"/>
        <v>0</v>
      </c>
      <c r="H46" s="4">
        <f t="shared" si="9"/>
        <v>0</v>
      </c>
      <c r="I46" s="4">
        <f t="shared" si="9"/>
        <v>0</v>
      </c>
      <c r="J46" s="4">
        <f t="shared" si="9"/>
        <v>0</v>
      </c>
      <c r="K46" s="4">
        <f t="shared" si="9"/>
        <v>0</v>
      </c>
      <c r="L46" s="4">
        <f t="shared" si="9"/>
        <v>0</v>
      </c>
      <c r="M46" s="4">
        <f t="shared" si="9"/>
        <v>4</v>
      </c>
      <c r="N46" s="4">
        <f t="shared" si="9"/>
        <v>4</v>
      </c>
      <c r="O46" s="4">
        <f t="shared" si="9"/>
        <v>5</v>
      </c>
      <c r="P46" s="4">
        <f t="shared" si="9"/>
        <v>3</v>
      </c>
      <c r="Q46" s="4">
        <f t="shared" si="10"/>
        <v>0</v>
      </c>
      <c r="R46" s="4">
        <f t="shared" si="10"/>
        <v>0</v>
      </c>
      <c r="S46" s="4">
        <f t="shared" si="10"/>
        <v>0</v>
      </c>
      <c r="T46" s="4">
        <f t="shared" si="10"/>
        <v>0</v>
      </c>
      <c r="U46" s="4">
        <f t="shared" si="10"/>
        <v>0</v>
      </c>
      <c r="V46" s="4">
        <f t="shared" si="10"/>
        <v>0</v>
      </c>
      <c r="W46" s="4">
        <f t="shared" si="10"/>
        <v>0</v>
      </c>
      <c r="X46" s="4">
        <f t="shared" si="10"/>
        <v>0</v>
      </c>
      <c r="Y46" s="4">
        <f t="shared" si="10"/>
        <v>0</v>
      </c>
      <c r="Z46" s="4">
        <f t="shared" si="10"/>
        <v>0</v>
      </c>
      <c r="AA46" s="4">
        <f t="shared" si="10"/>
        <v>0</v>
      </c>
      <c r="AB46" s="4">
        <f t="shared" si="10"/>
        <v>0</v>
      </c>
    </row>
    <row r="47" spans="1:28" x14ac:dyDescent="0.25">
      <c r="A47" s="7">
        <f>'Class Schedule Analysis'!A46</f>
        <v>44</v>
      </c>
      <c r="B47" s="7">
        <f>'Class Schedule Analysis'!C46</f>
        <v>3</v>
      </c>
      <c r="C47" s="29" t="str">
        <f>'Class Schedule Analysis'!J46</f>
        <v>WEST 102</v>
      </c>
      <c r="D47" s="7" t="str">
        <f>'Class Schedule Analysis'!M46</f>
        <v>Physical</v>
      </c>
      <c r="E47" s="30">
        <f>'Class Schedule Analysis'!P46</f>
        <v>46216</v>
      </c>
      <c r="F47" s="30">
        <f>'Class Schedule Analysis'!Q46</f>
        <v>46370</v>
      </c>
      <c r="G47" s="7">
        <f t="shared" si="9"/>
        <v>0</v>
      </c>
      <c r="H47" s="7">
        <f t="shared" si="9"/>
        <v>0</v>
      </c>
      <c r="I47" s="7">
        <f t="shared" si="9"/>
        <v>0</v>
      </c>
      <c r="J47" s="7">
        <f t="shared" si="9"/>
        <v>0</v>
      </c>
      <c r="K47" s="7">
        <f t="shared" si="9"/>
        <v>0</v>
      </c>
      <c r="L47" s="7">
        <f t="shared" si="9"/>
        <v>0</v>
      </c>
      <c r="M47" s="7">
        <f t="shared" si="9"/>
        <v>0</v>
      </c>
      <c r="N47" s="7">
        <f t="shared" si="9"/>
        <v>0</v>
      </c>
      <c r="O47" s="7">
        <f t="shared" si="9"/>
        <v>3</v>
      </c>
      <c r="P47" s="7">
        <f t="shared" si="9"/>
        <v>4</v>
      </c>
      <c r="Q47" s="7">
        <f t="shared" si="10"/>
        <v>5</v>
      </c>
      <c r="R47" s="7">
        <f t="shared" si="10"/>
        <v>4</v>
      </c>
      <c r="S47" s="7">
        <f t="shared" si="10"/>
        <v>4</v>
      </c>
      <c r="T47" s="7">
        <f t="shared" si="10"/>
        <v>2</v>
      </c>
      <c r="U47" s="7">
        <f t="shared" si="10"/>
        <v>0</v>
      </c>
      <c r="V47" s="7">
        <f t="shared" si="10"/>
        <v>0</v>
      </c>
      <c r="W47" s="7">
        <f t="shared" si="10"/>
        <v>0</v>
      </c>
      <c r="X47" s="7">
        <f t="shared" si="10"/>
        <v>0</v>
      </c>
      <c r="Y47" s="7">
        <f t="shared" si="10"/>
        <v>0</v>
      </c>
      <c r="Z47" s="7">
        <f t="shared" si="10"/>
        <v>0</v>
      </c>
      <c r="AA47" s="7">
        <f t="shared" si="10"/>
        <v>0</v>
      </c>
      <c r="AB47" s="7">
        <f t="shared" si="10"/>
        <v>0</v>
      </c>
    </row>
    <row r="48" spans="1:28" x14ac:dyDescent="0.25">
      <c r="A48" s="4">
        <f>'Class Schedule Analysis'!A47</f>
        <v>45</v>
      </c>
      <c r="B48" s="4">
        <f>'Class Schedule Analysis'!C47</f>
        <v>3</v>
      </c>
      <c r="C48" s="23" t="str">
        <f>'Class Schedule Analysis'!J47</f>
        <v>WEST 103</v>
      </c>
      <c r="D48" s="4" t="str">
        <f>'Class Schedule Analysis'!M47</f>
        <v>Physical</v>
      </c>
      <c r="E48" s="28">
        <f>'Class Schedule Analysis'!P47</f>
        <v>46147</v>
      </c>
      <c r="F48" s="28">
        <f>'Class Schedule Analysis'!Q47</f>
        <v>46259</v>
      </c>
      <c r="G48" s="4">
        <f t="shared" si="9"/>
        <v>0</v>
      </c>
      <c r="H48" s="4">
        <f t="shared" si="9"/>
        <v>0</v>
      </c>
      <c r="I48" s="4">
        <f t="shared" si="9"/>
        <v>0</v>
      </c>
      <c r="J48" s="4">
        <f t="shared" si="9"/>
        <v>0</v>
      </c>
      <c r="K48" s="4">
        <f t="shared" si="9"/>
        <v>0</v>
      </c>
      <c r="L48" s="4">
        <f t="shared" si="9"/>
        <v>0</v>
      </c>
      <c r="M48" s="4">
        <f t="shared" si="9"/>
        <v>4</v>
      </c>
      <c r="N48" s="4">
        <f t="shared" si="9"/>
        <v>4</v>
      </c>
      <c r="O48" s="4">
        <f t="shared" si="9"/>
        <v>5</v>
      </c>
      <c r="P48" s="4">
        <f t="shared" si="9"/>
        <v>3</v>
      </c>
      <c r="Q48" s="4">
        <f t="shared" si="10"/>
        <v>0</v>
      </c>
      <c r="R48" s="4">
        <f t="shared" si="10"/>
        <v>0</v>
      </c>
      <c r="S48" s="4">
        <f t="shared" si="10"/>
        <v>0</v>
      </c>
      <c r="T48" s="4">
        <f t="shared" si="10"/>
        <v>0</v>
      </c>
      <c r="U48" s="4">
        <f t="shared" si="10"/>
        <v>0</v>
      </c>
      <c r="V48" s="4">
        <f t="shared" si="10"/>
        <v>0</v>
      </c>
      <c r="W48" s="4">
        <f t="shared" si="10"/>
        <v>0</v>
      </c>
      <c r="X48" s="4">
        <f t="shared" si="10"/>
        <v>0</v>
      </c>
      <c r="Y48" s="4">
        <f t="shared" si="10"/>
        <v>0</v>
      </c>
      <c r="Z48" s="4">
        <f t="shared" si="10"/>
        <v>0</v>
      </c>
      <c r="AA48" s="4">
        <f t="shared" si="10"/>
        <v>0</v>
      </c>
      <c r="AB48" s="4">
        <f t="shared" si="10"/>
        <v>0</v>
      </c>
    </row>
    <row r="49" spans="1:28" x14ac:dyDescent="0.25">
      <c r="A49" s="7">
        <f>'Class Schedule Analysis'!A48</f>
        <v>46</v>
      </c>
      <c r="B49" s="7">
        <f>'Class Schedule Analysis'!C48</f>
        <v>3</v>
      </c>
      <c r="C49" s="29" t="str">
        <f>'Class Schedule Analysis'!J48</f>
        <v>WEST 104</v>
      </c>
      <c r="D49" s="7" t="str">
        <f>'Class Schedule Analysis'!M48</f>
        <v>Physical</v>
      </c>
      <c r="E49" s="30">
        <f>'Class Schedule Analysis'!P48</f>
        <v>46210</v>
      </c>
      <c r="F49" s="30">
        <f>'Class Schedule Analysis'!Q48</f>
        <v>46346</v>
      </c>
      <c r="G49" s="7">
        <f t="shared" si="9"/>
        <v>0</v>
      </c>
      <c r="H49" s="7">
        <f t="shared" si="9"/>
        <v>0</v>
      </c>
      <c r="I49" s="7">
        <f t="shared" si="9"/>
        <v>0</v>
      </c>
      <c r="J49" s="7">
        <f t="shared" si="9"/>
        <v>0</v>
      </c>
      <c r="K49" s="7">
        <f t="shared" si="9"/>
        <v>0</v>
      </c>
      <c r="L49" s="7">
        <f t="shared" si="9"/>
        <v>0</v>
      </c>
      <c r="M49" s="7">
        <f t="shared" si="9"/>
        <v>0</v>
      </c>
      <c r="N49" s="7">
        <f t="shared" si="9"/>
        <v>0</v>
      </c>
      <c r="O49" s="7">
        <f t="shared" si="9"/>
        <v>4</v>
      </c>
      <c r="P49" s="7">
        <f t="shared" si="9"/>
        <v>4</v>
      </c>
      <c r="Q49" s="7">
        <f t="shared" si="10"/>
        <v>5</v>
      </c>
      <c r="R49" s="7">
        <f t="shared" si="10"/>
        <v>4</v>
      </c>
      <c r="S49" s="7">
        <f t="shared" si="10"/>
        <v>3</v>
      </c>
      <c r="T49" s="7">
        <f t="shared" si="10"/>
        <v>0</v>
      </c>
      <c r="U49" s="7">
        <f t="shared" si="10"/>
        <v>0</v>
      </c>
      <c r="V49" s="7">
        <f t="shared" si="10"/>
        <v>0</v>
      </c>
      <c r="W49" s="7">
        <f t="shared" si="10"/>
        <v>0</v>
      </c>
      <c r="X49" s="7">
        <f t="shared" si="10"/>
        <v>0</v>
      </c>
      <c r="Y49" s="7">
        <f t="shared" si="10"/>
        <v>0</v>
      </c>
      <c r="Z49" s="7">
        <f t="shared" si="10"/>
        <v>0</v>
      </c>
      <c r="AA49" s="7">
        <f t="shared" si="10"/>
        <v>0</v>
      </c>
      <c r="AB49" s="7">
        <f t="shared" si="10"/>
        <v>0</v>
      </c>
    </row>
    <row r="50" spans="1:28" x14ac:dyDescent="0.25">
      <c r="A50" s="4">
        <f>'Class Schedule Analysis'!A49</f>
        <v>47</v>
      </c>
      <c r="B50" s="4">
        <f>'Class Schedule Analysis'!C49</f>
        <v>3</v>
      </c>
      <c r="C50" s="23" t="str">
        <f>'Class Schedule Analysis'!J49</f>
        <v>WEST 005</v>
      </c>
      <c r="D50" s="4" t="str">
        <f>'Class Schedule Analysis'!M49</f>
        <v>Physical</v>
      </c>
      <c r="E50" s="28">
        <f>'Class Schedule Analysis'!P49</f>
        <v>46139</v>
      </c>
      <c r="F50" s="28">
        <f>'Class Schedule Analysis'!Q49</f>
        <v>46314</v>
      </c>
      <c r="G50" s="4">
        <f t="shared" si="9"/>
        <v>0</v>
      </c>
      <c r="H50" s="4">
        <f t="shared" si="9"/>
        <v>0</v>
      </c>
      <c r="I50" s="4">
        <f t="shared" si="9"/>
        <v>0</v>
      </c>
      <c r="J50" s="4">
        <f t="shared" si="9"/>
        <v>0</v>
      </c>
      <c r="K50" s="4">
        <f t="shared" si="9"/>
        <v>0</v>
      </c>
      <c r="L50" s="4">
        <f t="shared" si="9"/>
        <v>1</v>
      </c>
      <c r="M50" s="4">
        <f t="shared" si="9"/>
        <v>4</v>
      </c>
      <c r="N50" s="4">
        <f t="shared" si="9"/>
        <v>4</v>
      </c>
      <c r="O50" s="4">
        <f t="shared" si="9"/>
        <v>5</v>
      </c>
      <c r="P50" s="4">
        <f t="shared" si="9"/>
        <v>4</v>
      </c>
      <c r="Q50" s="4">
        <f t="shared" si="10"/>
        <v>5</v>
      </c>
      <c r="R50" s="4">
        <f t="shared" si="10"/>
        <v>2</v>
      </c>
      <c r="S50" s="4">
        <f t="shared" si="10"/>
        <v>0</v>
      </c>
      <c r="T50" s="4">
        <f t="shared" si="10"/>
        <v>0</v>
      </c>
      <c r="U50" s="4">
        <f t="shared" si="10"/>
        <v>0</v>
      </c>
      <c r="V50" s="4">
        <f t="shared" si="10"/>
        <v>0</v>
      </c>
      <c r="W50" s="4">
        <f t="shared" si="10"/>
        <v>0</v>
      </c>
      <c r="X50" s="4">
        <f t="shared" si="10"/>
        <v>0</v>
      </c>
      <c r="Y50" s="4">
        <f t="shared" si="10"/>
        <v>0</v>
      </c>
      <c r="Z50" s="4">
        <f t="shared" si="10"/>
        <v>0</v>
      </c>
      <c r="AA50" s="4">
        <f t="shared" si="10"/>
        <v>0</v>
      </c>
      <c r="AB50" s="4">
        <f t="shared" si="10"/>
        <v>0</v>
      </c>
    </row>
    <row r="51" spans="1:28" x14ac:dyDescent="0.25">
      <c r="A51" s="7">
        <f>'Class Schedule Analysis'!A50</f>
        <v>48</v>
      </c>
      <c r="B51" s="7">
        <f>'Class Schedule Analysis'!C50</f>
        <v>3</v>
      </c>
      <c r="C51" s="29" t="str">
        <f>'Class Schedule Analysis'!J50</f>
        <v>TECH 001</v>
      </c>
      <c r="D51" s="7" t="str">
        <f>'Class Schedule Analysis'!M50</f>
        <v>Physical</v>
      </c>
      <c r="E51" s="30">
        <f>'Class Schedule Analysis'!P50</f>
        <v>46216</v>
      </c>
      <c r="F51" s="30">
        <f>'Class Schedule Analysis'!Q50</f>
        <v>46328</v>
      </c>
      <c r="G51" s="7">
        <f t="shared" si="9"/>
        <v>0</v>
      </c>
      <c r="H51" s="7">
        <f t="shared" si="9"/>
        <v>0</v>
      </c>
      <c r="I51" s="7">
        <f t="shared" si="9"/>
        <v>0</v>
      </c>
      <c r="J51" s="7">
        <f t="shared" si="9"/>
        <v>0</v>
      </c>
      <c r="K51" s="7">
        <f t="shared" si="9"/>
        <v>0</v>
      </c>
      <c r="L51" s="7">
        <f t="shared" si="9"/>
        <v>0</v>
      </c>
      <c r="M51" s="7">
        <f t="shared" si="9"/>
        <v>0</v>
      </c>
      <c r="N51" s="7">
        <f t="shared" si="9"/>
        <v>0</v>
      </c>
      <c r="O51" s="7">
        <f t="shared" si="9"/>
        <v>3</v>
      </c>
      <c r="P51" s="7">
        <f t="shared" si="9"/>
        <v>4</v>
      </c>
      <c r="Q51" s="7">
        <f t="shared" si="10"/>
        <v>5</v>
      </c>
      <c r="R51" s="7">
        <f t="shared" si="10"/>
        <v>4</v>
      </c>
      <c r="S51" s="7">
        <f t="shared" si="10"/>
        <v>0</v>
      </c>
      <c r="T51" s="7">
        <f t="shared" si="10"/>
        <v>0</v>
      </c>
      <c r="U51" s="7">
        <f t="shared" si="10"/>
        <v>0</v>
      </c>
      <c r="V51" s="7">
        <f t="shared" si="10"/>
        <v>0</v>
      </c>
      <c r="W51" s="7">
        <f t="shared" si="10"/>
        <v>0</v>
      </c>
      <c r="X51" s="7">
        <f t="shared" si="10"/>
        <v>0</v>
      </c>
      <c r="Y51" s="7">
        <f t="shared" si="10"/>
        <v>0</v>
      </c>
      <c r="Z51" s="7">
        <f t="shared" si="10"/>
        <v>0</v>
      </c>
      <c r="AA51" s="7">
        <f t="shared" si="10"/>
        <v>0</v>
      </c>
      <c r="AB51" s="7">
        <f t="shared" si="10"/>
        <v>0</v>
      </c>
    </row>
    <row r="52" spans="1:28" x14ac:dyDescent="0.25">
      <c r="A52" s="4">
        <f>'Class Schedule Analysis'!A51</f>
        <v>49</v>
      </c>
      <c r="B52" s="4">
        <f>'Class Schedule Analysis'!C51</f>
        <v>3</v>
      </c>
      <c r="C52" s="23" t="str">
        <f>'Class Schedule Analysis'!J51</f>
        <v>EAST 305</v>
      </c>
      <c r="D52" s="4" t="str">
        <f>'Class Schedule Analysis'!M51</f>
        <v>Physical</v>
      </c>
      <c r="E52" s="28">
        <f>'Class Schedule Analysis'!P51</f>
        <v>46216</v>
      </c>
      <c r="F52" s="28">
        <f>'Class Schedule Analysis'!Q51</f>
        <v>46630</v>
      </c>
      <c r="G52" s="4">
        <f t="shared" si="9"/>
        <v>0</v>
      </c>
      <c r="H52" s="4">
        <f t="shared" si="9"/>
        <v>0</v>
      </c>
      <c r="I52" s="4">
        <f t="shared" si="9"/>
        <v>0</v>
      </c>
      <c r="J52" s="4">
        <f t="shared" si="9"/>
        <v>0</v>
      </c>
      <c r="K52" s="4">
        <f t="shared" si="9"/>
        <v>0</v>
      </c>
      <c r="L52" s="4">
        <f t="shared" si="9"/>
        <v>0</v>
      </c>
      <c r="M52" s="4">
        <f t="shared" si="9"/>
        <v>0</v>
      </c>
      <c r="N52" s="4">
        <f t="shared" si="9"/>
        <v>0</v>
      </c>
      <c r="O52" s="4">
        <f t="shared" si="9"/>
        <v>3</v>
      </c>
      <c r="P52" s="4">
        <f t="shared" si="9"/>
        <v>4</v>
      </c>
      <c r="Q52" s="4">
        <f t="shared" si="10"/>
        <v>5</v>
      </c>
      <c r="R52" s="4">
        <f t="shared" si="10"/>
        <v>4</v>
      </c>
      <c r="S52" s="4">
        <f t="shared" si="10"/>
        <v>4</v>
      </c>
      <c r="T52" s="4">
        <f t="shared" si="10"/>
        <v>5</v>
      </c>
      <c r="U52" s="4">
        <f t="shared" si="10"/>
        <v>4</v>
      </c>
      <c r="V52" s="4">
        <f t="shared" si="10"/>
        <v>4</v>
      </c>
      <c r="W52" s="4">
        <f t="shared" si="10"/>
        <v>5</v>
      </c>
      <c r="X52" s="4">
        <f t="shared" si="10"/>
        <v>4</v>
      </c>
      <c r="Y52" s="4">
        <f t="shared" si="10"/>
        <v>4</v>
      </c>
      <c r="Z52" s="4">
        <f t="shared" si="10"/>
        <v>5</v>
      </c>
      <c r="AA52" s="4">
        <f t="shared" si="10"/>
        <v>4</v>
      </c>
      <c r="AB52" s="4">
        <f t="shared" si="10"/>
        <v>4</v>
      </c>
    </row>
    <row r="53" spans="1:28" x14ac:dyDescent="0.25">
      <c r="A53" s="7">
        <f>'Class Schedule Analysis'!A52</f>
        <v>50</v>
      </c>
      <c r="B53" s="7">
        <f>'Class Schedule Analysis'!C52</f>
        <v>3</v>
      </c>
      <c r="C53" s="29" t="str">
        <f>'Class Schedule Analysis'!J52</f>
        <v>EAST 306</v>
      </c>
      <c r="D53" s="7" t="str">
        <f>'Class Schedule Analysis'!M52</f>
        <v>Physical</v>
      </c>
      <c r="E53" s="30">
        <f>'Class Schedule Analysis'!P52</f>
        <v>46216</v>
      </c>
      <c r="F53" s="30">
        <f>'Class Schedule Analysis'!Q52</f>
        <v>46370</v>
      </c>
      <c r="G53" s="7">
        <f t="shared" si="9"/>
        <v>0</v>
      </c>
      <c r="H53" s="7">
        <f t="shared" si="9"/>
        <v>0</v>
      </c>
      <c r="I53" s="7">
        <f t="shared" si="9"/>
        <v>0</v>
      </c>
      <c r="J53" s="7">
        <f t="shared" si="9"/>
        <v>0</v>
      </c>
      <c r="K53" s="7">
        <f t="shared" si="9"/>
        <v>0</v>
      </c>
      <c r="L53" s="7">
        <f t="shared" si="9"/>
        <v>0</v>
      </c>
      <c r="M53" s="7">
        <f t="shared" si="9"/>
        <v>0</v>
      </c>
      <c r="N53" s="7">
        <f t="shared" si="9"/>
        <v>0</v>
      </c>
      <c r="O53" s="7">
        <f t="shared" si="9"/>
        <v>3</v>
      </c>
      <c r="P53" s="7">
        <f t="shared" si="9"/>
        <v>4</v>
      </c>
      <c r="Q53" s="7">
        <f t="shared" si="10"/>
        <v>5</v>
      </c>
      <c r="R53" s="7">
        <f t="shared" si="10"/>
        <v>4</v>
      </c>
      <c r="S53" s="7">
        <f t="shared" si="10"/>
        <v>4</v>
      </c>
      <c r="T53" s="7">
        <f t="shared" si="10"/>
        <v>2</v>
      </c>
      <c r="U53" s="7">
        <f t="shared" si="10"/>
        <v>0</v>
      </c>
      <c r="V53" s="7">
        <f t="shared" si="10"/>
        <v>0</v>
      </c>
      <c r="W53" s="7">
        <f t="shared" si="10"/>
        <v>0</v>
      </c>
      <c r="X53" s="7">
        <f t="shared" si="10"/>
        <v>0</v>
      </c>
      <c r="Y53" s="7">
        <f t="shared" si="10"/>
        <v>0</v>
      </c>
      <c r="Z53" s="7">
        <f t="shared" si="10"/>
        <v>0</v>
      </c>
      <c r="AA53" s="7">
        <f t="shared" si="10"/>
        <v>0</v>
      </c>
      <c r="AB53" s="7">
        <f t="shared" si="10"/>
        <v>0</v>
      </c>
    </row>
    <row r="54" spans="1:28" x14ac:dyDescent="0.25">
      <c r="A54" s="4">
        <f>'Class Schedule Analysis'!A53</f>
        <v>51</v>
      </c>
      <c r="B54" s="4">
        <f>'Class Schedule Analysis'!C53</f>
        <v>3</v>
      </c>
      <c r="C54" s="23" t="str">
        <f>'Class Schedule Analysis'!J53</f>
        <v>EAST 307</v>
      </c>
      <c r="D54" s="4" t="str">
        <f>'Class Schedule Analysis'!M53</f>
        <v>Hybrid</v>
      </c>
      <c r="E54" s="28">
        <f>'Class Schedule Analysis'!P53</f>
        <v>46097</v>
      </c>
      <c r="F54" s="28">
        <f>'Class Schedule Analysis'!Q53</f>
        <v>46226</v>
      </c>
      <c r="G54" s="4">
        <f t="shared" ref="G54:P63" si="11">IF(OR($E54="",$F54=""),0,IF(MAX($E54,G$2)&gt;MIN($F54,G$3),0,INT((MIN($F54,G$3)-(MAX($E54,G$2)+MOD($B54-WEEKDAY(MAX($E54,G$2),2),7)))/7)+1))</f>
        <v>0</v>
      </c>
      <c r="H54" s="4">
        <f t="shared" si="11"/>
        <v>0</v>
      </c>
      <c r="I54" s="4">
        <f t="shared" si="11"/>
        <v>0</v>
      </c>
      <c r="J54" s="4">
        <f t="shared" si="11"/>
        <v>0</v>
      </c>
      <c r="K54" s="4">
        <f t="shared" si="11"/>
        <v>2</v>
      </c>
      <c r="L54" s="4">
        <f t="shared" si="11"/>
        <v>5</v>
      </c>
      <c r="M54" s="4">
        <f t="shared" si="11"/>
        <v>4</v>
      </c>
      <c r="N54" s="4">
        <f t="shared" si="11"/>
        <v>4</v>
      </c>
      <c r="O54" s="4">
        <f t="shared" si="11"/>
        <v>4</v>
      </c>
      <c r="P54" s="4">
        <f t="shared" si="11"/>
        <v>0</v>
      </c>
      <c r="Q54" s="4">
        <f t="shared" ref="Q54:AB63" si="12">IF(OR($E54="",$F54=""),0,IF(MAX($E54,Q$2)&gt;MIN($F54,Q$3),0,INT((MIN($F54,Q$3)-(MAX($E54,Q$2)+MOD($B54-WEEKDAY(MAX($E54,Q$2),2),7)))/7)+1))</f>
        <v>0</v>
      </c>
      <c r="R54" s="4">
        <f t="shared" si="12"/>
        <v>0</v>
      </c>
      <c r="S54" s="4">
        <f t="shared" si="12"/>
        <v>0</v>
      </c>
      <c r="T54" s="4">
        <f t="shared" si="12"/>
        <v>0</v>
      </c>
      <c r="U54" s="4">
        <f t="shared" si="12"/>
        <v>0</v>
      </c>
      <c r="V54" s="4">
        <f t="shared" si="12"/>
        <v>0</v>
      </c>
      <c r="W54" s="4">
        <f t="shared" si="12"/>
        <v>0</v>
      </c>
      <c r="X54" s="4">
        <f t="shared" si="12"/>
        <v>0</v>
      </c>
      <c r="Y54" s="4">
        <f t="shared" si="12"/>
        <v>0</v>
      </c>
      <c r="Z54" s="4">
        <f t="shared" si="12"/>
        <v>0</v>
      </c>
      <c r="AA54" s="4">
        <f t="shared" si="12"/>
        <v>0</v>
      </c>
      <c r="AB54" s="4">
        <f t="shared" si="12"/>
        <v>0</v>
      </c>
    </row>
    <row r="55" spans="1:28" x14ac:dyDescent="0.25">
      <c r="A55" s="7">
        <f>'Class Schedule Analysis'!A54</f>
        <v>52</v>
      </c>
      <c r="B55" s="7">
        <f>'Class Schedule Analysis'!C54</f>
        <v>3</v>
      </c>
      <c r="C55" s="29" t="str">
        <f>'Class Schedule Analysis'!J54</f>
        <v>KITCHEN</v>
      </c>
      <c r="D55" s="7" t="str">
        <f>'Class Schedule Analysis'!M54</f>
        <v>Physical</v>
      </c>
      <c r="E55" s="30">
        <f>'Class Schedule Analysis'!P54</f>
        <v>46097</v>
      </c>
      <c r="F55" s="30">
        <f>'Class Schedule Analysis'!Q54</f>
        <v>46226</v>
      </c>
      <c r="G55" s="7">
        <f t="shared" si="11"/>
        <v>0</v>
      </c>
      <c r="H55" s="7">
        <f t="shared" si="11"/>
        <v>0</v>
      </c>
      <c r="I55" s="7">
        <f t="shared" si="11"/>
        <v>0</v>
      </c>
      <c r="J55" s="7">
        <f t="shared" si="11"/>
        <v>0</v>
      </c>
      <c r="K55" s="7">
        <f t="shared" si="11"/>
        <v>2</v>
      </c>
      <c r="L55" s="7">
        <f t="shared" si="11"/>
        <v>5</v>
      </c>
      <c r="M55" s="7">
        <f t="shared" si="11"/>
        <v>4</v>
      </c>
      <c r="N55" s="7">
        <f t="shared" si="11"/>
        <v>4</v>
      </c>
      <c r="O55" s="7">
        <f t="shared" si="11"/>
        <v>4</v>
      </c>
      <c r="P55" s="7">
        <f t="shared" si="11"/>
        <v>0</v>
      </c>
      <c r="Q55" s="7">
        <f t="shared" si="12"/>
        <v>0</v>
      </c>
      <c r="R55" s="7">
        <f t="shared" si="12"/>
        <v>0</v>
      </c>
      <c r="S55" s="7">
        <f t="shared" si="12"/>
        <v>0</v>
      </c>
      <c r="T55" s="7">
        <f t="shared" si="12"/>
        <v>0</v>
      </c>
      <c r="U55" s="7">
        <f t="shared" si="12"/>
        <v>0</v>
      </c>
      <c r="V55" s="7">
        <f t="shared" si="12"/>
        <v>0</v>
      </c>
      <c r="W55" s="7">
        <f t="shared" si="12"/>
        <v>0</v>
      </c>
      <c r="X55" s="7">
        <f t="shared" si="12"/>
        <v>0</v>
      </c>
      <c r="Y55" s="7">
        <f t="shared" si="12"/>
        <v>0</v>
      </c>
      <c r="Z55" s="7">
        <f t="shared" si="12"/>
        <v>0</v>
      </c>
      <c r="AA55" s="7">
        <f t="shared" si="12"/>
        <v>0</v>
      </c>
      <c r="AB55" s="7">
        <f t="shared" si="12"/>
        <v>0</v>
      </c>
    </row>
    <row r="56" spans="1:28" x14ac:dyDescent="0.25">
      <c r="A56" s="4">
        <f>'Class Schedule Analysis'!A55</f>
        <v>53</v>
      </c>
      <c r="B56" s="4">
        <f>'Class Schedule Analysis'!C55</f>
        <v>4</v>
      </c>
      <c r="C56" s="23" t="str">
        <f>'Class Schedule Analysis'!J55</f>
        <v>WEST 101</v>
      </c>
      <c r="D56" s="4" t="str">
        <f>'Class Schedule Analysis'!M55</f>
        <v>Hybrid</v>
      </c>
      <c r="E56" s="28">
        <f>'Class Schedule Analysis'!P55</f>
        <v>46190</v>
      </c>
      <c r="F56" s="28">
        <f>'Class Schedule Analysis'!Q55</f>
        <v>46286</v>
      </c>
      <c r="G56" s="4">
        <f t="shared" si="11"/>
        <v>0</v>
      </c>
      <c r="H56" s="4">
        <f t="shared" si="11"/>
        <v>0</v>
      </c>
      <c r="I56" s="4">
        <f t="shared" si="11"/>
        <v>0</v>
      </c>
      <c r="J56" s="4">
        <f t="shared" si="11"/>
        <v>0</v>
      </c>
      <c r="K56" s="4">
        <f t="shared" si="11"/>
        <v>0</v>
      </c>
      <c r="L56" s="4">
        <f t="shared" si="11"/>
        <v>0</v>
      </c>
      <c r="M56" s="4">
        <f t="shared" si="11"/>
        <v>0</v>
      </c>
      <c r="N56" s="4">
        <f t="shared" si="11"/>
        <v>2</v>
      </c>
      <c r="O56" s="4">
        <f t="shared" si="11"/>
        <v>5</v>
      </c>
      <c r="P56" s="4">
        <f t="shared" si="11"/>
        <v>4</v>
      </c>
      <c r="Q56" s="4">
        <f t="shared" si="12"/>
        <v>3</v>
      </c>
      <c r="R56" s="4">
        <f t="shared" si="12"/>
        <v>0</v>
      </c>
      <c r="S56" s="4">
        <f t="shared" si="12"/>
        <v>0</v>
      </c>
      <c r="T56" s="4">
        <f t="shared" si="12"/>
        <v>0</v>
      </c>
      <c r="U56" s="4">
        <f t="shared" si="12"/>
        <v>0</v>
      </c>
      <c r="V56" s="4">
        <f t="shared" si="12"/>
        <v>0</v>
      </c>
      <c r="W56" s="4">
        <f t="shared" si="12"/>
        <v>0</v>
      </c>
      <c r="X56" s="4">
        <f t="shared" si="12"/>
        <v>0</v>
      </c>
      <c r="Y56" s="4">
        <f t="shared" si="12"/>
        <v>0</v>
      </c>
      <c r="Z56" s="4">
        <f t="shared" si="12"/>
        <v>0</v>
      </c>
      <c r="AA56" s="4">
        <f t="shared" si="12"/>
        <v>0</v>
      </c>
      <c r="AB56" s="4">
        <f t="shared" si="12"/>
        <v>0</v>
      </c>
    </row>
    <row r="57" spans="1:28" x14ac:dyDescent="0.25">
      <c r="A57" s="7">
        <f>'Class Schedule Analysis'!A56</f>
        <v>54</v>
      </c>
      <c r="B57" s="7">
        <f>'Class Schedule Analysis'!C56</f>
        <v>4</v>
      </c>
      <c r="C57" s="29" t="str">
        <f>'Class Schedule Analysis'!J56</f>
        <v>WEST 103</v>
      </c>
      <c r="D57" s="7" t="str">
        <f>'Class Schedule Analysis'!M56</f>
        <v>Hybrid</v>
      </c>
      <c r="E57" s="30">
        <f>'Class Schedule Analysis'!P56</f>
        <v>46153</v>
      </c>
      <c r="F57" s="30">
        <f>'Class Schedule Analysis'!Q56</f>
        <v>46251</v>
      </c>
      <c r="G57" s="7">
        <f t="shared" si="11"/>
        <v>0</v>
      </c>
      <c r="H57" s="7">
        <f t="shared" si="11"/>
        <v>0</v>
      </c>
      <c r="I57" s="7">
        <f t="shared" si="11"/>
        <v>0</v>
      </c>
      <c r="J57" s="7">
        <f t="shared" si="11"/>
        <v>0</v>
      </c>
      <c r="K57" s="7">
        <f t="shared" si="11"/>
        <v>0</v>
      </c>
      <c r="L57" s="7">
        <f t="shared" si="11"/>
        <v>0</v>
      </c>
      <c r="M57" s="7">
        <f t="shared" si="11"/>
        <v>3</v>
      </c>
      <c r="N57" s="7">
        <f t="shared" si="11"/>
        <v>4</v>
      </c>
      <c r="O57" s="7">
        <f t="shared" si="11"/>
        <v>5</v>
      </c>
      <c r="P57" s="7">
        <f t="shared" si="11"/>
        <v>2</v>
      </c>
      <c r="Q57" s="7">
        <f t="shared" si="12"/>
        <v>0</v>
      </c>
      <c r="R57" s="7">
        <f t="shared" si="12"/>
        <v>0</v>
      </c>
      <c r="S57" s="7">
        <f t="shared" si="12"/>
        <v>0</v>
      </c>
      <c r="T57" s="7">
        <f t="shared" si="12"/>
        <v>0</v>
      </c>
      <c r="U57" s="7">
        <f t="shared" si="12"/>
        <v>0</v>
      </c>
      <c r="V57" s="7">
        <f t="shared" si="12"/>
        <v>0</v>
      </c>
      <c r="W57" s="7">
        <f t="shared" si="12"/>
        <v>0</v>
      </c>
      <c r="X57" s="7">
        <f t="shared" si="12"/>
        <v>0</v>
      </c>
      <c r="Y57" s="7">
        <f t="shared" si="12"/>
        <v>0</v>
      </c>
      <c r="Z57" s="7">
        <f t="shared" si="12"/>
        <v>0</v>
      </c>
      <c r="AA57" s="7">
        <f t="shared" si="12"/>
        <v>0</v>
      </c>
      <c r="AB57" s="7">
        <f t="shared" si="12"/>
        <v>0</v>
      </c>
    </row>
    <row r="58" spans="1:28" x14ac:dyDescent="0.25">
      <c r="A58" s="4">
        <f>'Class Schedule Analysis'!A57</f>
        <v>55</v>
      </c>
      <c r="B58" s="4">
        <f>'Class Schedule Analysis'!C57</f>
        <v>4</v>
      </c>
      <c r="C58" s="23" t="str">
        <f>'Class Schedule Analysis'!J57</f>
        <v>WEST 104</v>
      </c>
      <c r="D58" s="4" t="str">
        <f>'Class Schedule Analysis'!M57</f>
        <v>Physical</v>
      </c>
      <c r="E58" s="28">
        <f>'Class Schedule Analysis'!P57</f>
        <v>46097</v>
      </c>
      <c r="F58" s="28">
        <f>'Class Schedule Analysis'!Q57</f>
        <v>46226</v>
      </c>
      <c r="G58" s="4">
        <f t="shared" si="11"/>
        <v>0</v>
      </c>
      <c r="H58" s="4">
        <f t="shared" si="11"/>
        <v>0</v>
      </c>
      <c r="I58" s="4">
        <f t="shared" si="11"/>
        <v>0</v>
      </c>
      <c r="J58" s="4">
        <f t="shared" si="11"/>
        <v>0</v>
      </c>
      <c r="K58" s="4">
        <f t="shared" si="11"/>
        <v>2</v>
      </c>
      <c r="L58" s="4">
        <f t="shared" si="11"/>
        <v>5</v>
      </c>
      <c r="M58" s="4">
        <f t="shared" si="11"/>
        <v>4</v>
      </c>
      <c r="N58" s="4">
        <f t="shared" si="11"/>
        <v>4</v>
      </c>
      <c r="O58" s="4">
        <f t="shared" si="11"/>
        <v>4</v>
      </c>
      <c r="P58" s="4">
        <f t="shared" si="11"/>
        <v>0</v>
      </c>
      <c r="Q58" s="4">
        <f t="shared" si="12"/>
        <v>0</v>
      </c>
      <c r="R58" s="4">
        <f t="shared" si="12"/>
        <v>0</v>
      </c>
      <c r="S58" s="4">
        <f t="shared" si="12"/>
        <v>0</v>
      </c>
      <c r="T58" s="4">
        <f t="shared" si="12"/>
        <v>0</v>
      </c>
      <c r="U58" s="4">
        <f t="shared" si="12"/>
        <v>0</v>
      </c>
      <c r="V58" s="4">
        <f t="shared" si="12"/>
        <v>0</v>
      </c>
      <c r="W58" s="4">
        <f t="shared" si="12"/>
        <v>0</v>
      </c>
      <c r="X58" s="4">
        <f t="shared" si="12"/>
        <v>0</v>
      </c>
      <c r="Y58" s="4">
        <f t="shared" si="12"/>
        <v>0</v>
      </c>
      <c r="Z58" s="4">
        <f t="shared" si="12"/>
        <v>0</v>
      </c>
      <c r="AA58" s="4">
        <f t="shared" si="12"/>
        <v>0</v>
      </c>
      <c r="AB58" s="4">
        <f t="shared" si="12"/>
        <v>0</v>
      </c>
    </row>
    <row r="59" spans="1:28" x14ac:dyDescent="0.25">
      <c r="A59" s="7">
        <f>'Class Schedule Analysis'!A58</f>
        <v>56</v>
      </c>
      <c r="B59" s="7">
        <f>'Class Schedule Analysis'!C58</f>
        <v>4</v>
      </c>
      <c r="C59" s="29" t="str">
        <f>'Class Schedule Analysis'!J58</f>
        <v>WEST 105</v>
      </c>
      <c r="D59" s="7" t="str">
        <f>'Class Schedule Analysis'!M58</f>
        <v>Physical</v>
      </c>
      <c r="E59" s="30">
        <f>'Class Schedule Analysis'!P58</f>
        <v>46210</v>
      </c>
      <c r="F59" s="30">
        <f>'Class Schedule Analysis'!Q58</f>
        <v>46346</v>
      </c>
      <c r="G59" s="7">
        <f t="shared" si="11"/>
        <v>0</v>
      </c>
      <c r="H59" s="7">
        <f t="shared" si="11"/>
        <v>0</v>
      </c>
      <c r="I59" s="7">
        <f t="shared" si="11"/>
        <v>0</v>
      </c>
      <c r="J59" s="7">
        <f t="shared" si="11"/>
        <v>0</v>
      </c>
      <c r="K59" s="7">
        <f t="shared" si="11"/>
        <v>0</v>
      </c>
      <c r="L59" s="7">
        <f t="shared" si="11"/>
        <v>0</v>
      </c>
      <c r="M59" s="7">
        <f t="shared" si="11"/>
        <v>0</v>
      </c>
      <c r="N59" s="7">
        <f t="shared" si="11"/>
        <v>0</v>
      </c>
      <c r="O59" s="7">
        <f t="shared" si="11"/>
        <v>4</v>
      </c>
      <c r="P59" s="7">
        <f t="shared" si="11"/>
        <v>4</v>
      </c>
      <c r="Q59" s="7">
        <f t="shared" si="12"/>
        <v>4</v>
      </c>
      <c r="R59" s="7">
        <f t="shared" si="12"/>
        <v>5</v>
      </c>
      <c r="S59" s="7">
        <f t="shared" si="12"/>
        <v>3</v>
      </c>
      <c r="T59" s="7">
        <f t="shared" si="12"/>
        <v>0</v>
      </c>
      <c r="U59" s="7">
        <f t="shared" si="12"/>
        <v>0</v>
      </c>
      <c r="V59" s="7">
        <f t="shared" si="12"/>
        <v>0</v>
      </c>
      <c r="W59" s="7">
        <f t="shared" si="12"/>
        <v>0</v>
      </c>
      <c r="X59" s="7">
        <f t="shared" si="12"/>
        <v>0</v>
      </c>
      <c r="Y59" s="7">
        <f t="shared" si="12"/>
        <v>0</v>
      </c>
      <c r="Z59" s="7">
        <f t="shared" si="12"/>
        <v>0</v>
      </c>
      <c r="AA59" s="7">
        <f t="shared" si="12"/>
        <v>0</v>
      </c>
      <c r="AB59" s="7">
        <f t="shared" si="12"/>
        <v>0</v>
      </c>
    </row>
    <row r="60" spans="1:28" x14ac:dyDescent="0.25">
      <c r="A60" s="4">
        <f>'Class Schedule Analysis'!A59</f>
        <v>57</v>
      </c>
      <c r="B60" s="4">
        <f>'Class Schedule Analysis'!C59</f>
        <v>4</v>
      </c>
      <c r="C60" s="23" t="str">
        <f>'Class Schedule Analysis'!J59</f>
        <v>WEST 004</v>
      </c>
      <c r="D60" s="4" t="str">
        <f>'Class Schedule Analysis'!M59</f>
        <v>Physical</v>
      </c>
      <c r="E60" s="28">
        <f>'Class Schedule Analysis'!P59</f>
        <v>46216</v>
      </c>
      <c r="F60" s="28">
        <f>'Class Schedule Analysis'!Q59</f>
        <v>46328</v>
      </c>
      <c r="G60" s="4">
        <f t="shared" si="11"/>
        <v>0</v>
      </c>
      <c r="H60" s="4">
        <f t="shared" si="11"/>
        <v>0</v>
      </c>
      <c r="I60" s="4">
        <f t="shared" si="11"/>
        <v>0</v>
      </c>
      <c r="J60" s="4">
        <f t="shared" si="11"/>
        <v>0</v>
      </c>
      <c r="K60" s="4">
        <f t="shared" si="11"/>
        <v>0</v>
      </c>
      <c r="L60" s="4">
        <f t="shared" si="11"/>
        <v>0</v>
      </c>
      <c r="M60" s="4">
        <f t="shared" si="11"/>
        <v>0</v>
      </c>
      <c r="N60" s="4">
        <f t="shared" si="11"/>
        <v>0</v>
      </c>
      <c r="O60" s="4">
        <f t="shared" si="11"/>
        <v>3</v>
      </c>
      <c r="P60" s="4">
        <f t="shared" si="11"/>
        <v>4</v>
      </c>
      <c r="Q60" s="4">
        <f t="shared" si="12"/>
        <v>4</v>
      </c>
      <c r="R60" s="4">
        <f t="shared" si="12"/>
        <v>5</v>
      </c>
      <c r="S60" s="4">
        <f t="shared" si="12"/>
        <v>0</v>
      </c>
      <c r="T60" s="4">
        <f t="shared" si="12"/>
        <v>0</v>
      </c>
      <c r="U60" s="4">
        <f t="shared" si="12"/>
        <v>0</v>
      </c>
      <c r="V60" s="4">
        <f t="shared" si="12"/>
        <v>0</v>
      </c>
      <c r="W60" s="4">
        <f t="shared" si="12"/>
        <v>0</v>
      </c>
      <c r="X60" s="4">
        <f t="shared" si="12"/>
        <v>0</v>
      </c>
      <c r="Y60" s="4">
        <f t="shared" si="12"/>
        <v>0</v>
      </c>
      <c r="Z60" s="4">
        <f t="shared" si="12"/>
        <v>0</v>
      </c>
      <c r="AA60" s="4">
        <f t="shared" si="12"/>
        <v>0</v>
      </c>
      <c r="AB60" s="4">
        <f t="shared" si="12"/>
        <v>0</v>
      </c>
    </row>
    <row r="61" spans="1:28" x14ac:dyDescent="0.25">
      <c r="A61" s="7">
        <f>'Class Schedule Analysis'!A60</f>
        <v>58</v>
      </c>
      <c r="B61" s="7">
        <f>'Class Schedule Analysis'!C60</f>
        <v>4</v>
      </c>
      <c r="C61" s="29" t="str">
        <f>'Class Schedule Analysis'!J60</f>
        <v>WEST 005</v>
      </c>
      <c r="D61" s="7" t="str">
        <f>'Class Schedule Analysis'!M60</f>
        <v>Physical</v>
      </c>
      <c r="E61" s="30">
        <f>'Class Schedule Analysis'!P60</f>
        <v>46139</v>
      </c>
      <c r="F61" s="30">
        <f>'Class Schedule Analysis'!Q60</f>
        <v>46314</v>
      </c>
      <c r="G61" s="7">
        <f t="shared" si="11"/>
        <v>0</v>
      </c>
      <c r="H61" s="7">
        <f t="shared" si="11"/>
        <v>0</v>
      </c>
      <c r="I61" s="7">
        <f t="shared" si="11"/>
        <v>0</v>
      </c>
      <c r="J61" s="7">
        <f t="shared" si="11"/>
        <v>0</v>
      </c>
      <c r="K61" s="7">
        <f t="shared" si="11"/>
        <v>0</v>
      </c>
      <c r="L61" s="7">
        <f t="shared" si="11"/>
        <v>1</v>
      </c>
      <c r="M61" s="7">
        <f t="shared" si="11"/>
        <v>4</v>
      </c>
      <c r="N61" s="7">
        <f t="shared" si="11"/>
        <v>4</v>
      </c>
      <c r="O61" s="7">
        <f t="shared" si="11"/>
        <v>5</v>
      </c>
      <c r="P61" s="7">
        <f t="shared" si="11"/>
        <v>4</v>
      </c>
      <c r="Q61" s="7">
        <f t="shared" si="12"/>
        <v>4</v>
      </c>
      <c r="R61" s="7">
        <f t="shared" si="12"/>
        <v>3</v>
      </c>
      <c r="S61" s="7">
        <f t="shared" si="12"/>
        <v>0</v>
      </c>
      <c r="T61" s="7">
        <f t="shared" si="12"/>
        <v>0</v>
      </c>
      <c r="U61" s="7">
        <f t="shared" si="12"/>
        <v>0</v>
      </c>
      <c r="V61" s="7">
        <f t="shared" si="12"/>
        <v>0</v>
      </c>
      <c r="W61" s="7">
        <f t="shared" si="12"/>
        <v>0</v>
      </c>
      <c r="X61" s="7">
        <f t="shared" si="12"/>
        <v>0</v>
      </c>
      <c r="Y61" s="7">
        <f t="shared" si="12"/>
        <v>0</v>
      </c>
      <c r="Z61" s="7">
        <f t="shared" si="12"/>
        <v>0</v>
      </c>
      <c r="AA61" s="7">
        <f t="shared" si="12"/>
        <v>0</v>
      </c>
      <c r="AB61" s="7">
        <f t="shared" si="12"/>
        <v>0</v>
      </c>
    </row>
    <row r="62" spans="1:28" x14ac:dyDescent="0.25">
      <c r="A62" s="4">
        <f>'Class Schedule Analysis'!A61</f>
        <v>59</v>
      </c>
      <c r="B62" s="4">
        <f>'Class Schedule Analysis'!C61</f>
        <v>4</v>
      </c>
      <c r="C62" s="23" t="str">
        <f>'Class Schedule Analysis'!J61</f>
        <v>TECH 001</v>
      </c>
      <c r="D62" s="4" t="str">
        <f>'Class Schedule Analysis'!M61</f>
        <v>Physical</v>
      </c>
      <c r="E62" s="28">
        <f>'Class Schedule Analysis'!P61</f>
        <v>46191</v>
      </c>
      <c r="F62" s="28">
        <f>'Class Schedule Analysis'!Q61</f>
        <v>46323</v>
      </c>
      <c r="G62" s="4">
        <f t="shared" si="11"/>
        <v>0</v>
      </c>
      <c r="H62" s="4">
        <f t="shared" si="11"/>
        <v>0</v>
      </c>
      <c r="I62" s="4">
        <f t="shared" si="11"/>
        <v>0</v>
      </c>
      <c r="J62" s="4">
        <f t="shared" si="11"/>
        <v>0</v>
      </c>
      <c r="K62" s="4">
        <f t="shared" si="11"/>
        <v>0</v>
      </c>
      <c r="L62" s="4">
        <f t="shared" si="11"/>
        <v>0</v>
      </c>
      <c r="M62" s="4">
        <f t="shared" si="11"/>
        <v>0</v>
      </c>
      <c r="N62" s="4">
        <f t="shared" si="11"/>
        <v>2</v>
      </c>
      <c r="O62" s="4">
        <f t="shared" si="11"/>
        <v>5</v>
      </c>
      <c r="P62" s="4">
        <f t="shared" si="11"/>
        <v>4</v>
      </c>
      <c r="Q62" s="4">
        <f t="shared" si="12"/>
        <v>4</v>
      </c>
      <c r="R62" s="4">
        <f t="shared" si="12"/>
        <v>4</v>
      </c>
      <c r="S62" s="4">
        <f t="shared" si="12"/>
        <v>0</v>
      </c>
      <c r="T62" s="4">
        <f t="shared" si="12"/>
        <v>0</v>
      </c>
      <c r="U62" s="4">
        <f t="shared" si="12"/>
        <v>0</v>
      </c>
      <c r="V62" s="4">
        <f t="shared" si="12"/>
        <v>0</v>
      </c>
      <c r="W62" s="4">
        <f t="shared" si="12"/>
        <v>0</v>
      </c>
      <c r="X62" s="4">
        <f t="shared" si="12"/>
        <v>0</v>
      </c>
      <c r="Y62" s="4">
        <f t="shared" si="12"/>
        <v>0</v>
      </c>
      <c r="Z62" s="4">
        <f t="shared" si="12"/>
        <v>0</v>
      </c>
      <c r="AA62" s="4">
        <f t="shared" si="12"/>
        <v>0</v>
      </c>
      <c r="AB62" s="4">
        <f t="shared" si="12"/>
        <v>0</v>
      </c>
    </row>
    <row r="63" spans="1:28" x14ac:dyDescent="0.25">
      <c r="A63" s="7">
        <f>'Class Schedule Analysis'!A62</f>
        <v>60</v>
      </c>
      <c r="B63" s="7">
        <f>'Class Schedule Analysis'!C62</f>
        <v>4</v>
      </c>
      <c r="C63" s="29" t="str">
        <f>'Class Schedule Analysis'!J62</f>
        <v>TECH 002</v>
      </c>
      <c r="D63" s="7" t="str">
        <f>'Class Schedule Analysis'!M62</f>
        <v>Physical</v>
      </c>
      <c r="E63" s="30">
        <f>'Class Schedule Analysis'!P62</f>
        <v>46191</v>
      </c>
      <c r="F63" s="30">
        <f>'Class Schedule Analysis'!Q62</f>
        <v>46323</v>
      </c>
      <c r="G63" s="7">
        <f t="shared" si="11"/>
        <v>0</v>
      </c>
      <c r="H63" s="7">
        <f t="shared" si="11"/>
        <v>0</v>
      </c>
      <c r="I63" s="7">
        <f t="shared" si="11"/>
        <v>0</v>
      </c>
      <c r="J63" s="7">
        <f t="shared" si="11"/>
        <v>0</v>
      </c>
      <c r="K63" s="7">
        <f t="shared" si="11"/>
        <v>0</v>
      </c>
      <c r="L63" s="7">
        <f t="shared" si="11"/>
        <v>0</v>
      </c>
      <c r="M63" s="7">
        <f t="shared" si="11"/>
        <v>0</v>
      </c>
      <c r="N63" s="7">
        <f t="shared" si="11"/>
        <v>2</v>
      </c>
      <c r="O63" s="7">
        <f t="shared" si="11"/>
        <v>5</v>
      </c>
      <c r="P63" s="7">
        <f t="shared" si="11"/>
        <v>4</v>
      </c>
      <c r="Q63" s="7">
        <f t="shared" si="12"/>
        <v>4</v>
      </c>
      <c r="R63" s="7">
        <f t="shared" si="12"/>
        <v>4</v>
      </c>
      <c r="S63" s="7">
        <f t="shared" si="12"/>
        <v>0</v>
      </c>
      <c r="T63" s="7">
        <f t="shared" si="12"/>
        <v>0</v>
      </c>
      <c r="U63" s="7">
        <f t="shared" si="12"/>
        <v>0</v>
      </c>
      <c r="V63" s="7">
        <f t="shared" si="12"/>
        <v>0</v>
      </c>
      <c r="W63" s="7">
        <f t="shared" si="12"/>
        <v>0</v>
      </c>
      <c r="X63" s="7">
        <f t="shared" si="12"/>
        <v>0</v>
      </c>
      <c r="Y63" s="7">
        <f t="shared" si="12"/>
        <v>0</v>
      </c>
      <c r="Z63" s="7">
        <f t="shared" si="12"/>
        <v>0</v>
      </c>
      <c r="AA63" s="7">
        <f t="shared" si="12"/>
        <v>0</v>
      </c>
      <c r="AB63" s="7">
        <f t="shared" si="12"/>
        <v>0</v>
      </c>
    </row>
    <row r="64" spans="1:28" x14ac:dyDescent="0.25">
      <c r="A64" s="4">
        <f>'Class Schedule Analysis'!A63</f>
        <v>61</v>
      </c>
      <c r="B64" s="4">
        <f>'Class Schedule Analysis'!C63</f>
        <v>4</v>
      </c>
      <c r="C64" s="23" t="str">
        <f>'Class Schedule Analysis'!J63</f>
        <v>TECH 004</v>
      </c>
      <c r="D64" s="4" t="str">
        <f>'Class Schedule Analysis'!M63</f>
        <v>Physical</v>
      </c>
      <c r="E64" s="28">
        <f>'Class Schedule Analysis'!P63</f>
        <v>46191</v>
      </c>
      <c r="F64" s="28">
        <f>'Class Schedule Analysis'!Q63</f>
        <v>46323</v>
      </c>
      <c r="G64" s="4">
        <f t="shared" ref="G64:P73" si="13">IF(OR($E64="",$F64=""),0,IF(MAX($E64,G$2)&gt;MIN($F64,G$3),0,INT((MIN($F64,G$3)-(MAX($E64,G$2)+MOD($B64-WEEKDAY(MAX($E64,G$2),2),7)))/7)+1))</f>
        <v>0</v>
      </c>
      <c r="H64" s="4">
        <f t="shared" si="13"/>
        <v>0</v>
      </c>
      <c r="I64" s="4">
        <f t="shared" si="13"/>
        <v>0</v>
      </c>
      <c r="J64" s="4">
        <f t="shared" si="13"/>
        <v>0</v>
      </c>
      <c r="K64" s="4">
        <f t="shared" si="13"/>
        <v>0</v>
      </c>
      <c r="L64" s="4">
        <f t="shared" si="13"/>
        <v>0</v>
      </c>
      <c r="M64" s="4">
        <f t="shared" si="13"/>
        <v>0</v>
      </c>
      <c r="N64" s="4">
        <f t="shared" si="13"/>
        <v>2</v>
      </c>
      <c r="O64" s="4">
        <f t="shared" si="13"/>
        <v>5</v>
      </c>
      <c r="P64" s="4">
        <f t="shared" si="13"/>
        <v>4</v>
      </c>
      <c r="Q64" s="4">
        <f t="shared" ref="Q64:AB73" si="14">IF(OR($E64="",$F64=""),0,IF(MAX($E64,Q$2)&gt;MIN($F64,Q$3),0,INT((MIN($F64,Q$3)-(MAX($E64,Q$2)+MOD($B64-WEEKDAY(MAX($E64,Q$2),2),7)))/7)+1))</f>
        <v>4</v>
      </c>
      <c r="R64" s="4">
        <f t="shared" si="14"/>
        <v>4</v>
      </c>
      <c r="S64" s="4">
        <f t="shared" si="14"/>
        <v>0</v>
      </c>
      <c r="T64" s="4">
        <f t="shared" si="14"/>
        <v>0</v>
      </c>
      <c r="U64" s="4">
        <f t="shared" si="14"/>
        <v>0</v>
      </c>
      <c r="V64" s="4">
        <f t="shared" si="14"/>
        <v>0</v>
      </c>
      <c r="W64" s="4">
        <f t="shared" si="14"/>
        <v>0</v>
      </c>
      <c r="X64" s="4">
        <f t="shared" si="14"/>
        <v>0</v>
      </c>
      <c r="Y64" s="4">
        <f t="shared" si="14"/>
        <v>0</v>
      </c>
      <c r="Z64" s="4">
        <f t="shared" si="14"/>
        <v>0</v>
      </c>
      <c r="AA64" s="4">
        <f t="shared" si="14"/>
        <v>0</v>
      </c>
      <c r="AB64" s="4">
        <f t="shared" si="14"/>
        <v>0</v>
      </c>
    </row>
    <row r="65" spans="1:28" x14ac:dyDescent="0.25">
      <c r="A65" s="7">
        <f>'Class Schedule Analysis'!A64</f>
        <v>62</v>
      </c>
      <c r="B65" s="7">
        <f>'Class Schedule Analysis'!C64</f>
        <v>4</v>
      </c>
      <c r="C65" s="29" t="str">
        <f>'Class Schedule Analysis'!J64</f>
        <v>EAST 304</v>
      </c>
      <c r="D65" s="7" t="str">
        <f>'Class Schedule Analysis'!M64</f>
        <v>Physical</v>
      </c>
      <c r="E65" s="30">
        <f>'Class Schedule Analysis'!P64</f>
        <v>46216</v>
      </c>
      <c r="F65" s="30">
        <f>'Class Schedule Analysis'!Q64</f>
        <v>46370</v>
      </c>
      <c r="G65" s="7">
        <f t="shared" si="13"/>
        <v>0</v>
      </c>
      <c r="H65" s="7">
        <f t="shared" si="13"/>
        <v>0</v>
      </c>
      <c r="I65" s="7">
        <f t="shared" si="13"/>
        <v>0</v>
      </c>
      <c r="J65" s="7">
        <f t="shared" si="13"/>
        <v>0</v>
      </c>
      <c r="K65" s="7">
        <f t="shared" si="13"/>
        <v>0</v>
      </c>
      <c r="L65" s="7">
        <f t="shared" si="13"/>
        <v>0</v>
      </c>
      <c r="M65" s="7">
        <f t="shared" si="13"/>
        <v>0</v>
      </c>
      <c r="N65" s="7">
        <f t="shared" si="13"/>
        <v>0</v>
      </c>
      <c r="O65" s="7">
        <f t="shared" si="13"/>
        <v>3</v>
      </c>
      <c r="P65" s="7">
        <f t="shared" si="13"/>
        <v>4</v>
      </c>
      <c r="Q65" s="7">
        <f t="shared" si="14"/>
        <v>4</v>
      </c>
      <c r="R65" s="7">
        <f t="shared" si="14"/>
        <v>5</v>
      </c>
      <c r="S65" s="7">
        <f t="shared" si="14"/>
        <v>4</v>
      </c>
      <c r="T65" s="7">
        <f t="shared" si="14"/>
        <v>2</v>
      </c>
      <c r="U65" s="7">
        <f t="shared" si="14"/>
        <v>0</v>
      </c>
      <c r="V65" s="7">
        <f t="shared" si="14"/>
        <v>0</v>
      </c>
      <c r="W65" s="7">
        <f t="shared" si="14"/>
        <v>0</v>
      </c>
      <c r="X65" s="7">
        <f t="shared" si="14"/>
        <v>0</v>
      </c>
      <c r="Y65" s="7">
        <f t="shared" si="14"/>
        <v>0</v>
      </c>
      <c r="Z65" s="7">
        <f t="shared" si="14"/>
        <v>0</v>
      </c>
      <c r="AA65" s="7">
        <f t="shared" si="14"/>
        <v>0</v>
      </c>
      <c r="AB65" s="7">
        <f t="shared" si="14"/>
        <v>0</v>
      </c>
    </row>
    <row r="66" spans="1:28" x14ac:dyDescent="0.25">
      <c r="A66" s="4">
        <f>'Class Schedule Analysis'!A65</f>
        <v>63</v>
      </c>
      <c r="B66" s="4">
        <f>'Class Schedule Analysis'!C65</f>
        <v>4</v>
      </c>
      <c r="C66" s="23" t="str">
        <f>'Class Schedule Analysis'!J65</f>
        <v>EAST 305</v>
      </c>
      <c r="D66" s="4" t="str">
        <f>'Class Schedule Analysis'!M65</f>
        <v>Physical</v>
      </c>
      <c r="E66" s="28">
        <f>'Class Schedule Analysis'!P65</f>
        <v>46216</v>
      </c>
      <c r="F66" s="28">
        <f>'Class Schedule Analysis'!Q65</f>
        <v>46630</v>
      </c>
      <c r="G66" s="4">
        <f t="shared" si="13"/>
        <v>0</v>
      </c>
      <c r="H66" s="4">
        <f t="shared" si="13"/>
        <v>0</v>
      </c>
      <c r="I66" s="4">
        <f t="shared" si="13"/>
        <v>0</v>
      </c>
      <c r="J66" s="4">
        <f t="shared" si="13"/>
        <v>0</v>
      </c>
      <c r="K66" s="4">
        <f t="shared" si="13"/>
        <v>0</v>
      </c>
      <c r="L66" s="4">
        <f t="shared" si="13"/>
        <v>0</v>
      </c>
      <c r="M66" s="4">
        <f t="shared" si="13"/>
        <v>0</v>
      </c>
      <c r="N66" s="4">
        <f t="shared" si="13"/>
        <v>0</v>
      </c>
      <c r="O66" s="4">
        <f t="shared" si="13"/>
        <v>3</v>
      </c>
      <c r="P66" s="4">
        <f t="shared" si="13"/>
        <v>4</v>
      </c>
      <c r="Q66" s="4">
        <f t="shared" si="14"/>
        <v>4</v>
      </c>
      <c r="R66" s="4">
        <f t="shared" si="14"/>
        <v>5</v>
      </c>
      <c r="S66" s="4">
        <f t="shared" si="14"/>
        <v>4</v>
      </c>
      <c r="T66" s="4">
        <f t="shared" si="14"/>
        <v>5</v>
      </c>
      <c r="U66" s="4">
        <f t="shared" si="14"/>
        <v>4</v>
      </c>
      <c r="V66" s="4">
        <f t="shared" si="14"/>
        <v>4</v>
      </c>
      <c r="W66" s="4">
        <f t="shared" si="14"/>
        <v>4</v>
      </c>
      <c r="X66" s="4">
        <f t="shared" si="14"/>
        <v>5</v>
      </c>
      <c r="Y66" s="4">
        <f t="shared" si="14"/>
        <v>4</v>
      </c>
      <c r="Z66" s="4">
        <f t="shared" si="14"/>
        <v>4</v>
      </c>
      <c r="AA66" s="4">
        <f t="shared" si="14"/>
        <v>5</v>
      </c>
      <c r="AB66" s="4">
        <f t="shared" si="14"/>
        <v>4</v>
      </c>
    </row>
    <row r="67" spans="1:28" x14ac:dyDescent="0.25">
      <c r="A67" s="7">
        <f>'Class Schedule Analysis'!A66</f>
        <v>64</v>
      </c>
      <c r="B67" s="7">
        <f>'Class Schedule Analysis'!C66</f>
        <v>4</v>
      </c>
      <c r="C67" s="29" t="str">
        <f>'Class Schedule Analysis'!J66</f>
        <v>EAST 306</v>
      </c>
      <c r="D67" s="7" t="str">
        <f>'Class Schedule Analysis'!M66</f>
        <v>Physical</v>
      </c>
      <c r="E67" s="30">
        <f>'Class Schedule Analysis'!P66</f>
        <v>46097</v>
      </c>
      <c r="F67" s="30">
        <f>'Class Schedule Analysis'!Q66</f>
        <v>46226</v>
      </c>
      <c r="G67" s="7">
        <f t="shared" si="13"/>
        <v>0</v>
      </c>
      <c r="H67" s="7">
        <f t="shared" si="13"/>
        <v>0</v>
      </c>
      <c r="I67" s="7">
        <f t="shared" si="13"/>
        <v>0</v>
      </c>
      <c r="J67" s="7">
        <f t="shared" si="13"/>
        <v>0</v>
      </c>
      <c r="K67" s="7">
        <f t="shared" si="13"/>
        <v>2</v>
      </c>
      <c r="L67" s="7">
        <f t="shared" si="13"/>
        <v>5</v>
      </c>
      <c r="M67" s="7">
        <f t="shared" si="13"/>
        <v>4</v>
      </c>
      <c r="N67" s="7">
        <f t="shared" si="13"/>
        <v>4</v>
      </c>
      <c r="O67" s="7">
        <f t="shared" si="13"/>
        <v>4</v>
      </c>
      <c r="P67" s="7">
        <f t="shared" si="13"/>
        <v>0</v>
      </c>
      <c r="Q67" s="7">
        <f t="shared" si="14"/>
        <v>0</v>
      </c>
      <c r="R67" s="7">
        <f t="shared" si="14"/>
        <v>0</v>
      </c>
      <c r="S67" s="7">
        <f t="shared" si="14"/>
        <v>0</v>
      </c>
      <c r="T67" s="7">
        <f t="shared" si="14"/>
        <v>0</v>
      </c>
      <c r="U67" s="7">
        <f t="shared" si="14"/>
        <v>0</v>
      </c>
      <c r="V67" s="7">
        <f t="shared" si="14"/>
        <v>0</v>
      </c>
      <c r="W67" s="7">
        <f t="shared" si="14"/>
        <v>0</v>
      </c>
      <c r="X67" s="7">
        <f t="shared" si="14"/>
        <v>0</v>
      </c>
      <c r="Y67" s="7">
        <f t="shared" si="14"/>
        <v>0</v>
      </c>
      <c r="Z67" s="7">
        <f t="shared" si="14"/>
        <v>0</v>
      </c>
      <c r="AA67" s="7">
        <f t="shared" si="14"/>
        <v>0</v>
      </c>
      <c r="AB67" s="7">
        <f t="shared" si="14"/>
        <v>0</v>
      </c>
    </row>
    <row r="68" spans="1:28" x14ac:dyDescent="0.25">
      <c r="A68" s="4">
        <f>'Class Schedule Analysis'!A67</f>
        <v>65</v>
      </c>
      <c r="B68" s="4">
        <f>'Class Schedule Analysis'!C67</f>
        <v>4</v>
      </c>
      <c r="C68" s="23" t="str">
        <f>'Class Schedule Analysis'!J67</f>
        <v>EAST 307</v>
      </c>
      <c r="D68" s="4" t="str">
        <f>'Class Schedule Analysis'!M67</f>
        <v>Hybrid</v>
      </c>
      <c r="E68" s="28">
        <f>'Class Schedule Analysis'!P67</f>
        <v>46097</v>
      </c>
      <c r="F68" s="28">
        <f>'Class Schedule Analysis'!Q67</f>
        <v>46226</v>
      </c>
      <c r="G68" s="4">
        <f t="shared" si="13"/>
        <v>0</v>
      </c>
      <c r="H68" s="4">
        <f t="shared" si="13"/>
        <v>0</v>
      </c>
      <c r="I68" s="4">
        <f t="shared" si="13"/>
        <v>0</v>
      </c>
      <c r="J68" s="4">
        <f t="shared" si="13"/>
        <v>0</v>
      </c>
      <c r="K68" s="4">
        <f t="shared" si="13"/>
        <v>2</v>
      </c>
      <c r="L68" s="4">
        <f t="shared" si="13"/>
        <v>5</v>
      </c>
      <c r="M68" s="4">
        <f t="shared" si="13"/>
        <v>4</v>
      </c>
      <c r="N68" s="4">
        <f t="shared" si="13"/>
        <v>4</v>
      </c>
      <c r="O68" s="4">
        <f t="shared" si="13"/>
        <v>4</v>
      </c>
      <c r="P68" s="4">
        <f t="shared" si="13"/>
        <v>0</v>
      </c>
      <c r="Q68" s="4">
        <f t="shared" si="14"/>
        <v>0</v>
      </c>
      <c r="R68" s="4">
        <f t="shared" si="14"/>
        <v>0</v>
      </c>
      <c r="S68" s="4">
        <f t="shared" si="14"/>
        <v>0</v>
      </c>
      <c r="T68" s="4">
        <f t="shared" si="14"/>
        <v>0</v>
      </c>
      <c r="U68" s="4">
        <f t="shared" si="14"/>
        <v>0</v>
      </c>
      <c r="V68" s="4">
        <f t="shared" si="14"/>
        <v>0</v>
      </c>
      <c r="W68" s="4">
        <f t="shared" si="14"/>
        <v>0</v>
      </c>
      <c r="X68" s="4">
        <f t="shared" si="14"/>
        <v>0</v>
      </c>
      <c r="Y68" s="4">
        <f t="shared" si="14"/>
        <v>0</v>
      </c>
      <c r="Z68" s="4">
        <f t="shared" si="14"/>
        <v>0</v>
      </c>
      <c r="AA68" s="4">
        <f t="shared" si="14"/>
        <v>0</v>
      </c>
      <c r="AB68" s="4">
        <f t="shared" si="14"/>
        <v>0</v>
      </c>
    </row>
    <row r="69" spans="1:28" x14ac:dyDescent="0.25">
      <c r="A69" s="7">
        <f>'Class Schedule Analysis'!A68</f>
        <v>66</v>
      </c>
      <c r="B69" s="7">
        <f>'Class Schedule Analysis'!C68</f>
        <v>4</v>
      </c>
      <c r="C69" s="29" t="str">
        <f>'Class Schedule Analysis'!J68</f>
        <v>WEST 101</v>
      </c>
      <c r="D69" s="7" t="str">
        <f>'Class Schedule Analysis'!M68</f>
        <v>Hybrid</v>
      </c>
      <c r="E69" s="30">
        <f>'Class Schedule Analysis'!P68</f>
        <v>46190</v>
      </c>
      <c r="F69" s="30">
        <f>'Class Schedule Analysis'!Q68</f>
        <v>46286</v>
      </c>
      <c r="G69" s="7">
        <f t="shared" si="13"/>
        <v>0</v>
      </c>
      <c r="H69" s="7">
        <f t="shared" si="13"/>
        <v>0</v>
      </c>
      <c r="I69" s="7">
        <f t="shared" si="13"/>
        <v>0</v>
      </c>
      <c r="J69" s="7">
        <f t="shared" si="13"/>
        <v>0</v>
      </c>
      <c r="K69" s="7">
        <f t="shared" si="13"/>
        <v>0</v>
      </c>
      <c r="L69" s="7">
        <f t="shared" si="13"/>
        <v>0</v>
      </c>
      <c r="M69" s="7">
        <f t="shared" si="13"/>
        <v>0</v>
      </c>
      <c r="N69" s="7">
        <f t="shared" si="13"/>
        <v>2</v>
      </c>
      <c r="O69" s="7">
        <f t="shared" si="13"/>
        <v>5</v>
      </c>
      <c r="P69" s="7">
        <f t="shared" si="13"/>
        <v>4</v>
      </c>
      <c r="Q69" s="7">
        <f t="shared" si="14"/>
        <v>3</v>
      </c>
      <c r="R69" s="7">
        <f t="shared" si="14"/>
        <v>0</v>
      </c>
      <c r="S69" s="7">
        <f t="shared" si="14"/>
        <v>0</v>
      </c>
      <c r="T69" s="7">
        <f t="shared" si="14"/>
        <v>0</v>
      </c>
      <c r="U69" s="7">
        <f t="shared" si="14"/>
        <v>0</v>
      </c>
      <c r="V69" s="7">
        <f t="shared" si="14"/>
        <v>0</v>
      </c>
      <c r="W69" s="7">
        <f t="shared" si="14"/>
        <v>0</v>
      </c>
      <c r="X69" s="7">
        <f t="shared" si="14"/>
        <v>0</v>
      </c>
      <c r="Y69" s="7">
        <f t="shared" si="14"/>
        <v>0</v>
      </c>
      <c r="Z69" s="7">
        <f t="shared" si="14"/>
        <v>0</v>
      </c>
      <c r="AA69" s="7">
        <f t="shared" si="14"/>
        <v>0</v>
      </c>
      <c r="AB69" s="7">
        <f t="shared" si="14"/>
        <v>0</v>
      </c>
    </row>
    <row r="70" spans="1:28" x14ac:dyDescent="0.25">
      <c r="A70" s="4">
        <f>'Class Schedule Analysis'!A69</f>
        <v>67</v>
      </c>
      <c r="B70" s="4">
        <f>'Class Schedule Analysis'!C69</f>
        <v>4</v>
      </c>
      <c r="C70" s="23" t="str">
        <f>'Class Schedule Analysis'!J69</f>
        <v>TECH 002</v>
      </c>
      <c r="D70" s="4" t="str">
        <f>'Class Schedule Analysis'!M69</f>
        <v>Physical</v>
      </c>
      <c r="E70" s="28">
        <f>'Class Schedule Analysis'!P69</f>
        <v>46139</v>
      </c>
      <c r="F70" s="28">
        <f>'Class Schedule Analysis'!Q69</f>
        <v>46261</v>
      </c>
      <c r="G70" s="4">
        <f t="shared" si="13"/>
        <v>0</v>
      </c>
      <c r="H70" s="4">
        <f t="shared" si="13"/>
        <v>0</v>
      </c>
      <c r="I70" s="4">
        <f t="shared" si="13"/>
        <v>0</v>
      </c>
      <c r="J70" s="4">
        <f t="shared" si="13"/>
        <v>0</v>
      </c>
      <c r="K70" s="4">
        <f t="shared" si="13"/>
        <v>0</v>
      </c>
      <c r="L70" s="4">
        <f t="shared" si="13"/>
        <v>1</v>
      </c>
      <c r="M70" s="4">
        <f t="shared" si="13"/>
        <v>4</v>
      </c>
      <c r="N70" s="4">
        <f t="shared" si="13"/>
        <v>4</v>
      </c>
      <c r="O70" s="4">
        <f t="shared" si="13"/>
        <v>5</v>
      </c>
      <c r="P70" s="4">
        <f t="shared" si="13"/>
        <v>4</v>
      </c>
      <c r="Q70" s="4">
        <f t="shared" si="14"/>
        <v>0</v>
      </c>
      <c r="R70" s="4">
        <f t="shared" si="14"/>
        <v>0</v>
      </c>
      <c r="S70" s="4">
        <f t="shared" si="14"/>
        <v>0</v>
      </c>
      <c r="T70" s="4">
        <f t="shared" si="14"/>
        <v>0</v>
      </c>
      <c r="U70" s="4">
        <f t="shared" si="14"/>
        <v>0</v>
      </c>
      <c r="V70" s="4">
        <f t="shared" si="14"/>
        <v>0</v>
      </c>
      <c r="W70" s="4">
        <f t="shared" si="14"/>
        <v>0</v>
      </c>
      <c r="X70" s="4">
        <f t="shared" si="14"/>
        <v>0</v>
      </c>
      <c r="Y70" s="4">
        <f t="shared" si="14"/>
        <v>0</v>
      </c>
      <c r="Z70" s="4">
        <f t="shared" si="14"/>
        <v>0</v>
      </c>
      <c r="AA70" s="4">
        <f t="shared" si="14"/>
        <v>0</v>
      </c>
      <c r="AB70" s="4">
        <f t="shared" si="14"/>
        <v>0</v>
      </c>
    </row>
    <row r="71" spans="1:28" x14ac:dyDescent="0.25">
      <c r="A71" s="7">
        <f>'Class Schedule Analysis'!A70</f>
        <v>68</v>
      </c>
      <c r="B71" s="7">
        <f>'Class Schedule Analysis'!C70</f>
        <v>4</v>
      </c>
      <c r="C71" s="29" t="str">
        <f>'Class Schedule Analysis'!J70</f>
        <v>WEST 105</v>
      </c>
      <c r="D71" s="7" t="str">
        <f>'Class Schedule Analysis'!M70</f>
        <v>Physical</v>
      </c>
      <c r="E71" s="30">
        <f>'Class Schedule Analysis'!P70</f>
        <v>46191</v>
      </c>
      <c r="F71" s="30">
        <f>'Class Schedule Analysis'!Q70</f>
        <v>46323</v>
      </c>
      <c r="G71" s="7">
        <f t="shared" si="13"/>
        <v>0</v>
      </c>
      <c r="H71" s="7">
        <f t="shared" si="13"/>
        <v>0</v>
      </c>
      <c r="I71" s="7">
        <f t="shared" si="13"/>
        <v>0</v>
      </c>
      <c r="J71" s="7">
        <f t="shared" si="13"/>
        <v>0</v>
      </c>
      <c r="K71" s="7">
        <f t="shared" si="13"/>
        <v>0</v>
      </c>
      <c r="L71" s="7">
        <f t="shared" si="13"/>
        <v>0</v>
      </c>
      <c r="M71" s="7">
        <f t="shared" si="13"/>
        <v>0</v>
      </c>
      <c r="N71" s="7">
        <f t="shared" si="13"/>
        <v>2</v>
      </c>
      <c r="O71" s="7">
        <f t="shared" si="13"/>
        <v>5</v>
      </c>
      <c r="P71" s="7">
        <f t="shared" si="13"/>
        <v>4</v>
      </c>
      <c r="Q71" s="7">
        <f t="shared" si="14"/>
        <v>4</v>
      </c>
      <c r="R71" s="7">
        <f t="shared" si="14"/>
        <v>4</v>
      </c>
      <c r="S71" s="7">
        <f t="shared" si="14"/>
        <v>0</v>
      </c>
      <c r="T71" s="7">
        <f t="shared" si="14"/>
        <v>0</v>
      </c>
      <c r="U71" s="7">
        <f t="shared" si="14"/>
        <v>0</v>
      </c>
      <c r="V71" s="7">
        <f t="shared" si="14"/>
        <v>0</v>
      </c>
      <c r="W71" s="7">
        <f t="shared" si="14"/>
        <v>0</v>
      </c>
      <c r="X71" s="7">
        <f t="shared" si="14"/>
        <v>0</v>
      </c>
      <c r="Y71" s="7">
        <f t="shared" si="14"/>
        <v>0</v>
      </c>
      <c r="Z71" s="7">
        <f t="shared" si="14"/>
        <v>0</v>
      </c>
      <c r="AA71" s="7">
        <f t="shared" si="14"/>
        <v>0</v>
      </c>
      <c r="AB71" s="7">
        <f t="shared" si="14"/>
        <v>0</v>
      </c>
    </row>
    <row r="72" spans="1:28" x14ac:dyDescent="0.25">
      <c r="A72" s="4">
        <f>'Class Schedule Analysis'!A71</f>
        <v>69</v>
      </c>
      <c r="B72" s="4">
        <f>'Class Schedule Analysis'!C71</f>
        <v>4</v>
      </c>
      <c r="C72" s="23" t="str">
        <f>'Class Schedule Analysis'!J71</f>
        <v>WEST 004</v>
      </c>
      <c r="D72" s="4" t="str">
        <f>'Class Schedule Analysis'!M71</f>
        <v>Physical</v>
      </c>
      <c r="E72" s="28">
        <f>'Class Schedule Analysis'!P71</f>
        <v>46216</v>
      </c>
      <c r="F72" s="28">
        <f>'Class Schedule Analysis'!Q71</f>
        <v>46328</v>
      </c>
      <c r="G72" s="4">
        <f t="shared" si="13"/>
        <v>0</v>
      </c>
      <c r="H72" s="4">
        <f t="shared" si="13"/>
        <v>0</v>
      </c>
      <c r="I72" s="4">
        <f t="shared" si="13"/>
        <v>0</v>
      </c>
      <c r="J72" s="4">
        <f t="shared" si="13"/>
        <v>0</v>
      </c>
      <c r="K72" s="4">
        <f t="shared" si="13"/>
        <v>0</v>
      </c>
      <c r="L72" s="4">
        <f t="shared" si="13"/>
        <v>0</v>
      </c>
      <c r="M72" s="4">
        <f t="shared" si="13"/>
        <v>0</v>
      </c>
      <c r="N72" s="4">
        <f t="shared" si="13"/>
        <v>0</v>
      </c>
      <c r="O72" s="4">
        <f t="shared" si="13"/>
        <v>3</v>
      </c>
      <c r="P72" s="4">
        <f t="shared" si="13"/>
        <v>4</v>
      </c>
      <c r="Q72" s="4">
        <f t="shared" si="14"/>
        <v>4</v>
      </c>
      <c r="R72" s="4">
        <f t="shared" si="14"/>
        <v>5</v>
      </c>
      <c r="S72" s="4">
        <f t="shared" si="14"/>
        <v>0</v>
      </c>
      <c r="T72" s="4">
        <f t="shared" si="14"/>
        <v>0</v>
      </c>
      <c r="U72" s="4">
        <f t="shared" si="14"/>
        <v>0</v>
      </c>
      <c r="V72" s="4">
        <f t="shared" si="14"/>
        <v>0</v>
      </c>
      <c r="W72" s="4">
        <f t="shared" si="14"/>
        <v>0</v>
      </c>
      <c r="X72" s="4">
        <f t="shared" si="14"/>
        <v>0</v>
      </c>
      <c r="Y72" s="4">
        <f t="shared" si="14"/>
        <v>0</v>
      </c>
      <c r="Z72" s="4">
        <f t="shared" si="14"/>
        <v>0</v>
      </c>
      <c r="AA72" s="4">
        <f t="shared" si="14"/>
        <v>0</v>
      </c>
      <c r="AB72" s="4">
        <f t="shared" si="14"/>
        <v>0</v>
      </c>
    </row>
    <row r="73" spans="1:28" x14ac:dyDescent="0.25">
      <c r="A73" s="7">
        <f>'Class Schedule Analysis'!A72</f>
        <v>70</v>
      </c>
      <c r="B73" s="7">
        <f>'Class Schedule Analysis'!C72</f>
        <v>4</v>
      </c>
      <c r="C73" s="29" t="str">
        <f>'Class Schedule Analysis'!J72</f>
        <v>WEST 005</v>
      </c>
      <c r="D73" s="7" t="str">
        <f>'Class Schedule Analysis'!M72</f>
        <v>Physical</v>
      </c>
      <c r="E73" s="30">
        <f>'Class Schedule Analysis'!P72</f>
        <v>46139</v>
      </c>
      <c r="F73" s="30">
        <f>'Class Schedule Analysis'!Q72</f>
        <v>46314</v>
      </c>
      <c r="G73" s="7">
        <f t="shared" si="13"/>
        <v>0</v>
      </c>
      <c r="H73" s="7">
        <f t="shared" si="13"/>
        <v>0</v>
      </c>
      <c r="I73" s="7">
        <f t="shared" si="13"/>
        <v>0</v>
      </c>
      <c r="J73" s="7">
        <f t="shared" si="13"/>
        <v>0</v>
      </c>
      <c r="K73" s="7">
        <f t="shared" si="13"/>
        <v>0</v>
      </c>
      <c r="L73" s="7">
        <f t="shared" si="13"/>
        <v>1</v>
      </c>
      <c r="M73" s="7">
        <f t="shared" si="13"/>
        <v>4</v>
      </c>
      <c r="N73" s="7">
        <f t="shared" si="13"/>
        <v>4</v>
      </c>
      <c r="O73" s="7">
        <f t="shared" si="13"/>
        <v>5</v>
      </c>
      <c r="P73" s="7">
        <f t="shared" si="13"/>
        <v>4</v>
      </c>
      <c r="Q73" s="7">
        <f t="shared" si="14"/>
        <v>4</v>
      </c>
      <c r="R73" s="7">
        <f t="shared" si="14"/>
        <v>3</v>
      </c>
      <c r="S73" s="7">
        <f t="shared" si="14"/>
        <v>0</v>
      </c>
      <c r="T73" s="7">
        <f t="shared" si="14"/>
        <v>0</v>
      </c>
      <c r="U73" s="7">
        <f t="shared" si="14"/>
        <v>0</v>
      </c>
      <c r="V73" s="7">
        <f t="shared" si="14"/>
        <v>0</v>
      </c>
      <c r="W73" s="7">
        <f t="shared" si="14"/>
        <v>0</v>
      </c>
      <c r="X73" s="7">
        <f t="shared" si="14"/>
        <v>0</v>
      </c>
      <c r="Y73" s="7">
        <f t="shared" si="14"/>
        <v>0</v>
      </c>
      <c r="Z73" s="7">
        <f t="shared" si="14"/>
        <v>0</v>
      </c>
      <c r="AA73" s="7">
        <f t="shared" si="14"/>
        <v>0</v>
      </c>
      <c r="AB73" s="7">
        <f t="shared" si="14"/>
        <v>0</v>
      </c>
    </row>
    <row r="74" spans="1:28" x14ac:dyDescent="0.25">
      <c r="A74" s="4">
        <f>'Class Schedule Analysis'!A73</f>
        <v>71</v>
      </c>
      <c r="B74" s="4">
        <f>'Class Schedule Analysis'!C73</f>
        <v>4</v>
      </c>
      <c r="C74" s="23" t="str">
        <f>'Class Schedule Analysis'!J73</f>
        <v>TECH 001</v>
      </c>
      <c r="D74" s="4" t="str">
        <f>'Class Schedule Analysis'!M73</f>
        <v>Physical</v>
      </c>
      <c r="E74" s="28">
        <f>'Class Schedule Analysis'!P73</f>
        <v>46191</v>
      </c>
      <c r="F74" s="28">
        <f>'Class Schedule Analysis'!Q73</f>
        <v>46323</v>
      </c>
      <c r="G74" s="4">
        <f t="shared" ref="G74:P83" si="15">IF(OR($E74="",$F74=""),0,IF(MAX($E74,G$2)&gt;MIN($F74,G$3),0,INT((MIN($F74,G$3)-(MAX($E74,G$2)+MOD($B74-WEEKDAY(MAX($E74,G$2),2),7)))/7)+1))</f>
        <v>0</v>
      </c>
      <c r="H74" s="4">
        <f t="shared" si="15"/>
        <v>0</v>
      </c>
      <c r="I74" s="4">
        <f t="shared" si="15"/>
        <v>0</v>
      </c>
      <c r="J74" s="4">
        <f t="shared" si="15"/>
        <v>0</v>
      </c>
      <c r="K74" s="4">
        <f t="shared" si="15"/>
        <v>0</v>
      </c>
      <c r="L74" s="4">
        <f t="shared" si="15"/>
        <v>0</v>
      </c>
      <c r="M74" s="4">
        <f t="shared" si="15"/>
        <v>0</v>
      </c>
      <c r="N74" s="4">
        <f t="shared" si="15"/>
        <v>2</v>
      </c>
      <c r="O74" s="4">
        <f t="shared" si="15"/>
        <v>5</v>
      </c>
      <c r="P74" s="4">
        <f t="shared" si="15"/>
        <v>4</v>
      </c>
      <c r="Q74" s="4">
        <f t="shared" ref="Q74:AB83" si="16">IF(OR($E74="",$F74=""),0,IF(MAX($E74,Q$2)&gt;MIN($F74,Q$3),0,INT((MIN($F74,Q$3)-(MAX($E74,Q$2)+MOD($B74-WEEKDAY(MAX($E74,Q$2),2),7)))/7)+1))</f>
        <v>4</v>
      </c>
      <c r="R74" s="4">
        <f t="shared" si="16"/>
        <v>4</v>
      </c>
      <c r="S74" s="4">
        <f t="shared" si="16"/>
        <v>0</v>
      </c>
      <c r="T74" s="4">
        <f t="shared" si="16"/>
        <v>0</v>
      </c>
      <c r="U74" s="4">
        <f t="shared" si="16"/>
        <v>0</v>
      </c>
      <c r="V74" s="4">
        <f t="shared" si="16"/>
        <v>0</v>
      </c>
      <c r="W74" s="4">
        <f t="shared" si="16"/>
        <v>0</v>
      </c>
      <c r="X74" s="4">
        <f t="shared" si="16"/>
        <v>0</v>
      </c>
      <c r="Y74" s="4">
        <f t="shared" si="16"/>
        <v>0</v>
      </c>
      <c r="Z74" s="4">
        <f t="shared" si="16"/>
        <v>0</v>
      </c>
      <c r="AA74" s="4">
        <f t="shared" si="16"/>
        <v>0</v>
      </c>
      <c r="AB74" s="4">
        <f t="shared" si="16"/>
        <v>0</v>
      </c>
    </row>
    <row r="75" spans="1:28" x14ac:dyDescent="0.25">
      <c r="A75" s="7">
        <f>'Class Schedule Analysis'!A74</f>
        <v>72</v>
      </c>
      <c r="B75" s="7">
        <f>'Class Schedule Analysis'!C74</f>
        <v>4</v>
      </c>
      <c r="C75" s="29" t="str">
        <f>'Class Schedule Analysis'!J74</f>
        <v>TECH 003</v>
      </c>
      <c r="D75" s="7" t="str">
        <f>'Class Schedule Analysis'!M74</f>
        <v>Physical</v>
      </c>
      <c r="E75" s="30">
        <f>'Class Schedule Analysis'!P74</f>
        <v>46216</v>
      </c>
      <c r="F75" s="30">
        <f>'Class Schedule Analysis'!Q74</f>
        <v>46370</v>
      </c>
      <c r="G75" s="7">
        <f t="shared" si="15"/>
        <v>0</v>
      </c>
      <c r="H75" s="7">
        <f t="shared" si="15"/>
        <v>0</v>
      </c>
      <c r="I75" s="7">
        <f t="shared" si="15"/>
        <v>0</v>
      </c>
      <c r="J75" s="7">
        <f t="shared" si="15"/>
        <v>0</v>
      </c>
      <c r="K75" s="7">
        <f t="shared" si="15"/>
        <v>0</v>
      </c>
      <c r="L75" s="7">
        <f t="shared" si="15"/>
        <v>0</v>
      </c>
      <c r="M75" s="7">
        <f t="shared" si="15"/>
        <v>0</v>
      </c>
      <c r="N75" s="7">
        <f t="shared" si="15"/>
        <v>0</v>
      </c>
      <c r="O75" s="7">
        <f t="shared" si="15"/>
        <v>3</v>
      </c>
      <c r="P75" s="7">
        <f t="shared" si="15"/>
        <v>4</v>
      </c>
      <c r="Q75" s="7">
        <f t="shared" si="16"/>
        <v>4</v>
      </c>
      <c r="R75" s="7">
        <f t="shared" si="16"/>
        <v>5</v>
      </c>
      <c r="S75" s="7">
        <f t="shared" si="16"/>
        <v>4</v>
      </c>
      <c r="T75" s="7">
        <f t="shared" si="16"/>
        <v>2</v>
      </c>
      <c r="U75" s="7">
        <f t="shared" si="16"/>
        <v>0</v>
      </c>
      <c r="V75" s="7">
        <f t="shared" si="16"/>
        <v>0</v>
      </c>
      <c r="W75" s="7">
        <f t="shared" si="16"/>
        <v>0</v>
      </c>
      <c r="X75" s="7">
        <f t="shared" si="16"/>
        <v>0</v>
      </c>
      <c r="Y75" s="7">
        <f t="shared" si="16"/>
        <v>0</v>
      </c>
      <c r="Z75" s="7">
        <f t="shared" si="16"/>
        <v>0</v>
      </c>
      <c r="AA75" s="7">
        <f t="shared" si="16"/>
        <v>0</v>
      </c>
      <c r="AB75" s="7">
        <f t="shared" si="16"/>
        <v>0</v>
      </c>
    </row>
    <row r="76" spans="1:28" x14ac:dyDescent="0.25">
      <c r="A76" s="4">
        <f>'Class Schedule Analysis'!A75</f>
        <v>73</v>
      </c>
      <c r="B76" s="4">
        <f>'Class Schedule Analysis'!C75</f>
        <v>4</v>
      </c>
      <c r="C76" s="23" t="str">
        <f>'Class Schedule Analysis'!J75</f>
        <v>TECH 004</v>
      </c>
      <c r="D76" s="4" t="str">
        <f>'Class Schedule Analysis'!M75</f>
        <v>Physical</v>
      </c>
      <c r="E76" s="28">
        <f>'Class Schedule Analysis'!P75</f>
        <v>46191</v>
      </c>
      <c r="F76" s="28">
        <f>'Class Schedule Analysis'!Q75</f>
        <v>46323</v>
      </c>
      <c r="G76" s="4">
        <f t="shared" si="15"/>
        <v>0</v>
      </c>
      <c r="H76" s="4">
        <f t="shared" si="15"/>
        <v>0</v>
      </c>
      <c r="I76" s="4">
        <f t="shared" si="15"/>
        <v>0</v>
      </c>
      <c r="J76" s="4">
        <f t="shared" si="15"/>
        <v>0</v>
      </c>
      <c r="K76" s="4">
        <f t="shared" si="15"/>
        <v>0</v>
      </c>
      <c r="L76" s="4">
        <f t="shared" si="15"/>
        <v>0</v>
      </c>
      <c r="M76" s="4">
        <f t="shared" si="15"/>
        <v>0</v>
      </c>
      <c r="N76" s="4">
        <f t="shared" si="15"/>
        <v>2</v>
      </c>
      <c r="O76" s="4">
        <f t="shared" si="15"/>
        <v>5</v>
      </c>
      <c r="P76" s="4">
        <f t="shared" si="15"/>
        <v>4</v>
      </c>
      <c r="Q76" s="4">
        <f t="shared" si="16"/>
        <v>4</v>
      </c>
      <c r="R76" s="4">
        <f t="shared" si="16"/>
        <v>4</v>
      </c>
      <c r="S76" s="4">
        <f t="shared" si="16"/>
        <v>0</v>
      </c>
      <c r="T76" s="4">
        <f t="shared" si="16"/>
        <v>0</v>
      </c>
      <c r="U76" s="4">
        <f t="shared" si="16"/>
        <v>0</v>
      </c>
      <c r="V76" s="4">
        <f t="shared" si="16"/>
        <v>0</v>
      </c>
      <c r="W76" s="4">
        <f t="shared" si="16"/>
        <v>0</v>
      </c>
      <c r="X76" s="4">
        <f t="shared" si="16"/>
        <v>0</v>
      </c>
      <c r="Y76" s="4">
        <f t="shared" si="16"/>
        <v>0</v>
      </c>
      <c r="Z76" s="4">
        <f t="shared" si="16"/>
        <v>0</v>
      </c>
      <c r="AA76" s="4">
        <f t="shared" si="16"/>
        <v>0</v>
      </c>
      <c r="AB76" s="4">
        <f t="shared" si="16"/>
        <v>0</v>
      </c>
    </row>
    <row r="77" spans="1:28" x14ac:dyDescent="0.25">
      <c r="A77" s="7">
        <f>'Class Schedule Analysis'!A76</f>
        <v>74</v>
      </c>
      <c r="B77" s="7">
        <f>'Class Schedule Analysis'!C76</f>
        <v>4</v>
      </c>
      <c r="C77" s="29" t="str">
        <f>'Class Schedule Analysis'!J76</f>
        <v>EAST 305</v>
      </c>
      <c r="D77" s="7" t="str">
        <f>'Class Schedule Analysis'!M76</f>
        <v>Physical</v>
      </c>
      <c r="E77" s="30">
        <f>'Class Schedule Analysis'!P76</f>
        <v>46216</v>
      </c>
      <c r="F77" s="30">
        <f>'Class Schedule Analysis'!Q76</f>
        <v>46630</v>
      </c>
      <c r="G77" s="7">
        <f t="shared" si="15"/>
        <v>0</v>
      </c>
      <c r="H77" s="7">
        <f t="shared" si="15"/>
        <v>0</v>
      </c>
      <c r="I77" s="7">
        <f t="shared" si="15"/>
        <v>0</v>
      </c>
      <c r="J77" s="7">
        <f t="shared" si="15"/>
        <v>0</v>
      </c>
      <c r="K77" s="7">
        <f t="shared" si="15"/>
        <v>0</v>
      </c>
      <c r="L77" s="7">
        <f t="shared" si="15"/>
        <v>0</v>
      </c>
      <c r="M77" s="7">
        <f t="shared" si="15"/>
        <v>0</v>
      </c>
      <c r="N77" s="7">
        <f t="shared" si="15"/>
        <v>0</v>
      </c>
      <c r="O77" s="7">
        <f t="shared" si="15"/>
        <v>3</v>
      </c>
      <c r="P77" s="7">
        <f t="shared" si="15"/>
        <v>4</v>
      </c>
      <c r="Q77" s="7">
        <f t="shared" si="16"/>
        <v>4</v>
      </c>
      <c r="R77" s="7">
        <f t="shared" si="16"/>
        <v>5</v>
      </c>
      <c r="S77" s="7">
        <f t="shared" si="16"/>
        <v>4</v>
      </c>
      <c r="T77" s="7">
        <f t="shared" si="16"/>
        <v>5</v>
      </c>
      <c r="U77" s="7">
        <f t="shared" si="16"/>
        <v>4</v>
      </c>
      <c r="V77" s="7">
        <f t="shared" si="16"/>
        <v>4</v>
      </c>
      <c r="W77" s="7">
        <f t="shared" si="16"/>
        <v>4</v>
      </c>
      <c r="X77" s="7">
        <f t="shared" si="16"/>
        <v>5</v>
      </c>
      <c r="Y77" s="7">
        <f t="shared" si="16"/>
        <v>4</v>
      </c>
      <c r="Z77" s="7">
        <f t="shared" si="16"/>
        <v>4</v>
      </c>
      <c r="AA77" s="7">
        <f t="shared" si="16"/>
        <v>5</v>
      </c>
      <c r="AB77" s="7">
        <f t="shared" si="16"/>
        <v>4</v>
      </c>
    </row>
    <row r="78" spans="1:28" x14ac:dyDescent="0.25">
      <c r="A78" s="4">
        <f>'Class Schedule Analysis'!A77</f>
        <v>75</v>
      </c>
      <c r="B78" s="4">
        <f>'Class Schedule Analysis'!C77</f>
        <v>4</v>
      </c>
      <c r="C78" s="23" t="str">
        <f>'Class Schedule Analysis'!J77</f>
        <v>EAST 306</v>
      </c>
      <c r="D78" s="4" t="str">
        <f>'Class Schedule Analysis'!M77</f>
        <v>Hybrid</v>
      </c>
      <c r="E78" s="28">
        <f>'Class Schedule Analysis'!P77</f>
        <v>46153</v>
      </c>
      <c r="F78" s="28">
        <f>'Class Schedule Analysis'!Q77</f>
        <v>46251</v>
      </c>
      <c r="G78" s="4">
        <f t="shared" si="15"/>
        <v>0</v>
      </c>
      <c r="H78" s="4">
        <f t="shared" si="15"/>
        <v>0</v>
      </c>
      <c r="I78" s="4">
        <f t="shared" si="15"/>
        <v>0</v>
      </c>
      <c r="J78" s="4">
        <f t="shared" si="15"/>
        <v>0</v>
      </c>
      <c r="K78" s="4">
        <f t="shared" si="15"/>
        <v>0</v>
      </c>
      <c r="L78" s="4">
        <f t="shared" si="15"/>
        <v>0</v>
      </c>
      <c r="M78" s="4">
        <f t="shared" si="15"/>
        <v>3</v>
      </c>
      <c r="N78" s="4">
        <f t="shared" si="15"/>
        <v>4</v>
      </c>
      <c r="O78" s="4">
        <f t="shared" si="15"/>
        <v>5</v>
      </c>
      <c r="P78" s="4">
        <f t="shared" si="15"/>
        <v>2</v>
      </c>
      <c r="Q78" s="4">
        <f t="shared" si="16"/>
        <v>0</v>
      </c>
      <c r="R78" s="4">
        <f t="shared" si="16"/>
        <v>0</v>
      </c>
      <c r="S78" s="4">
        <f t="shared" si="16"/>
        <v>0</v>
      </c>
      <c r="T78" s="4">
        <f t="shared" si="16"/>
        <v>0</v>
      </c>
      <c r="U78" s="4">
        <f t="shared" si="16"/>
        <v>0</v>
      </c>
      <c r="V78" s="4">
        <f t="shared" si="16"/>
        <v>0</v>
      </c>
      <c r="W78" s="4">
        <f t="shared" si="16"/>
        <v>0</v>
      </c>
      <c r="X78" s="4">
        <f t="shared" si="16"/>
        <v>0</v>
      </c>
      <c r="Y78" s="4">
        <f t="shared" si="16"/>
        <v>0</v>
      </c>
      <c r="Z78" s="4">
        <f t="shared" si="16"/>
        <v>0</v>
      </c>
      <c r="AA78" s="4">
        <f t="shared" si="16"/>
        <v>0</v>
      </c>
      <c r="AB78" s="4">
        <f t="shared" si="16"/>
        <v>0</v>
      </c>
    </row>
    <row r="79" spans="1:28" x14ac:dyDescent="0.25">
      <c r="A79" s="7">
        <f>'Class Schedule Analysis'!A78</f>
        <v>76</v>
      </c>
      <c r="B79" s="7">
        <f>'Class Schedule Analysis'!C78</f>
        <v>4</v>
      </c>
      <c r="C79" s="29" t="str">
        <f>'Class Schedule Analysis'!J78</f>
        <v>EAST 307</v>
      </c>
      <c r="D79" s="7" t="str">
        <f>'Class Schedule Analysis'!M78</f>
        <v>Hybrid</v>
      </c>
      <c r="E79" s="30">
        <f>'Class Schedule Analysis'!P78</f>
        <v>46097</v>
      </c>
      <c r="F79" s="30">
        <f>'Class Schedule Analysis'!Q78</f>
        <v>46226</v>
      </c>
      <c r="G79" s="7">
        <f t="shared" si="15"/>
        <v>0</v>
      </c>
      <c r="H79" s="7">
        <f t="shared" si="15"/>
        <v>0</v>
      </c>
      <c r="I79" s="7">
        <f t="shared" si="15"/>
        <v>0</v>
      </c>
      <c r="J79" s="7">
        <f t="shared" si="15"/>
        <v>0</v>
      </c>
      <c r="K79" s="7">
        <f t="shared" si="15"/>
        <v>2</v>
      </c>
      <c r="L79" s="7">
        <f t="shared" si="15"/>
        <v>5</v>
      </c>
      <c r="M79" s="7">
        <f t="shared" si="15"/>
        <v>4</v>
      </c>
      <c r="N79" s="7">
        <f t="shared" si="15"/>
        <v>4</v>
      </c>
      <c r="O79" s="7">
        <f t="shared" si="15"/>
        <v>4</v>
      </c>
      <c r="P79" s="7">
        <f t="shared" si="15"/>
        <v>0</v>
      </c>
      <c r="Q79" s="7">
        <f t="shared" si="16"/>
        <v>0</v>
      </c>
      <c r="R79" s="7">
        <f t="shared" si="16"/>
        <v>0</v>
      </c>
      <c r="S79" s="7">
        <f t="shared" si="16"/>
        <v>0</v>
      </c>
      <c r="T79" s="7">
        <f t="shared" si="16"/>
        <v>0</v>
      </c>
      <c r="U79" s="7">
        <f t="shared" si="16"/>
        <v>0</v>
      </c>
      <c r="V79" s="7">
        <f t="shared" si="16"/>
        <v>0</v>
      </c>
      <c r="W79" s="7">
        <f t="shared" si="16"/>
        <v>0</v>
      </c>
      <c r="X79" s="7">
        <f t="shared" si="16"/>
        <v>0</v>
      </c>
      <c r="Y79" s="7">
        <f t="shared" si="16"/>
        <v>0</v>
      </c>
      <c r="Z79" s="7">
        <f t="shared" si="16"/>
        <v>0</v>
      </c>
      <c r="AA79" s="7">
        <f t="shared" si="16"/>
        <v>0</v>
      </c>
      <c r="AB79" s="7">
        <f t="shared" si="16"/>
        <v>0</v>
      </c>
    </row>
    <row r="80" spans="1:28" x14ac:dyDescent="0.25">
      <c r="A80" s="4">
        <f>'Class Schedule Analysis'!A79</f>
        <v>77</v>
      </c>
      <c r="B80" s="4">
        <f>'Class Schedule Analysis'!C79</f>
        <v>5</v>
      </c>
      <c r="C80" s="23" t="str">
        <f>'Class Schedule Analysis'!J79</f>
        <v>WEST 102</v>
      </c>
      <c r="D80" s="4" t="str">
        <f>'Class Schedule Analysis'!M79</f>
        <v>Physical</v>
      </c>
      <c r="E80" s="28">
        <f>'Class Schedule Analysis'!P79</f>
        <v>46139</v>
      </c>
      <c r="F80" s="28">
        <f>'Class Schedule Analysis'!Q79</f>
        <v>46261</v>
      </c>
      <c r="G80" s="4">
        <f t="shared" si="15"/>
        <v>0</v>
      </c>
      <c r="H80" s="4">
        <f t="shared" si="15"/>
        <v>0</v>
      </c>
      <c r="I80" s="4">
        <f t="shared" si="15"/>
        <v>0</v>
      </c>
      <c r="J80" s="4">
        <f t="shared" si="15"/>
        <v>0</v>
      </c>
      <c r="K80" s="4">
        <f t="shared" si="15"/>
        <v>0</v>
      </c>
      <c r="L80" s="4">
        <f t="shared" si="15"/>
        <v>0</v>
      </c>
      <c r="M80" s="4">
        <f t="shared" si="15"/>
        <v>5</v>
      </c>
      <c r="N80" s="4">
        <f t="shared" si="15"/>
        <v>4</v>
      </c>
      <c r="O80" s="4">
        <f t="shared" si="15"/>
        <v>5</v>
      </c>
      <c r="P80" s="4">
        <f t="shared" si="15"/>
        <v>3</v>
      </c>
      <c r="Q80" s="4">
        <f t="shared" si="16"/>
        <v>0</v>
      </c>
      <c r="R80" s="4">
        <f t="shared" si="16"/>
        <v>0</v>
      </c>
      <c r="S80" s="4">
        <f t="shared" si="16"/>
        <v>0</v>
      </c>
      <c r="T80" s="4">
        <f t="shared" si="16"/>
        <v>0</v>
      </c>
      <c r="U80" s="4">
        <f t="shared" si="16"/>
        <v>0</v>
      </c>
      <c r="V80" s="4">
        <f t="shared" si="16"/>
        <v>0</v>
      </c>
      <c r="W80" s="4">
        <f t="shared" si="16"/>
        <v>0</v>
      </c>
      <c r="X80" s="4">
        <f t="shared" si="16"/>
        <v>0</v>
      </c>
      <c r="Y80" s="4">
        <f t="shared" si="16"/>
        <v>0</v>
      </c>
      <c r="Z80" s="4">
        <f t="shared" si="16"/>
        <v>0</v>
      </c>
      <c r="AA80" s="4">
        <f t="shared" si="16"/>
        <v>0</v>
      </c>
      <c r="AB80" s="4">
        <f t="shared" si="16"/>
        <v>0</v>
      </c>
    </row>
    <row r="81" spans="1:28" x14ac:dyDescent="0.25">
      <c r="A81" s="7">
        <f>'Class Schedule Analysis'!A80</f>
        <v>78</v>
      </c>
      <c r="B81" s="7">
        <f>'Class Schedule Analysis'!C80</f>
        <v>5</v>
      </c>
      <c r="C81" s="29" t="str">
        <f>'Class Schedule Analysis'!J80</f>
        <v>WEST 005</v>
      </c>
      <c r="D81" s="7" t="str">
        <f>'Class Schedule Analysis'!M80</f>
        <v>Physical</v>
      </c>
      <c r="E81" s="30">
        <f>'Class Schedule Analysis'!P80</f>
        <v>46097</v>
      </c>
      <c r="F81" s="30">
        <f>'Class Schedule Analysis'!Q80</f>
        <v>46226</v>
      </c>
      <c r="G81" s="7">
        <f t="shared" si="15"/>
        <v>0</v>
      </c>
      <c r="H81" s="7">
        <f t="shared" si="15"/>
        <v>0</v>
      </c>
      <c r="I81" s="7">
        <f t="shared" si="15"/>
        <v>0</v>
      </c>
      <c r="J81" s="7">
        <f t="shared" si="15"/>
        <v>0</v>
      </c>
      <c r="K81" s="7">
        <f t="shared" si="15"/>
        <v>2</v>
      </c>
      <c r="L81" s="7">
        <f t="shared" si="15"/>
        <v>4</v>
      </c>
      <c r="M81" s="7">
        <f t="shared" si="15"/>
        <v>5</v>
      </c>
      <c r="N81" s="7">
        <f t="shared" si="15"/>
        <v>4</v>
      </c>
      <c r="O81" s="7">
        <f t="shared" si="15"/>
        <v>3</v>
      </c>
      <c r="P81" s="7">
        <f t="shared" si="15"/>
        <v>0</v>
      </c>
      <c r="Q81" s="7">
        <f t="shared" si="16"/>
        <v>0</v>
      </c>
      <c r="R81" s="7">
        <f t="shared" si="16"/>
        <v>0</v>
      </c>
      <c r="S81" s="7">
        <f t="shared" si="16"/>
        <v>0</v>
      </c>
      <c r="T81" s="7">
        <f t="shared" si="16"/>
        <v>0</v>
      </c>
      <c r="U81" s="7">
        <f t="shared" si="16"/>
        <v>0</v>
      </c>
      <c r="V81" s="7">
        <f t="shared" si="16"/>
        <v>0</v>
      </c>
      <c r="W81" s="7">
        <f t="shared" si="16"/>
        <v>0</v>
      </c>
      <c r="X81" s="7">
        <f t="shared" si="16"/>
        <v>0</v>
      </c>
      <c r="Y81" s="7">
        <f t="shared" si="16"/>
        <v>0</v>
      </c>
      <c r="Z81" s="7">
        <f t="shared" si="16"/>
        <v>0</v>
      </c>
      <c r="AA81" s="7">
        <f t="shared" si="16"/>
        <v>0</v>
      </c>
      <c r="AB81" s="7">
        <f t="shared" si="16"/>
        <v>0</v>
      </c>
    </row>
    <row r="82" spans="1:28" x14ac:dyDescent="0.25">
      <c r="A82" s="4">
        <f>'Class Schedule Analysis'!A81</f>
        <v>79</v>
      </c>
      <c r="B82" s="4">
        <f>'Class Schedule Analysis'!C81</f>
        <v>5</v>
      </c>
      <c r="C82" s="23" t="str">
        <f>'Class Schedule Analysis'!J81</f>
        <v>TECH 001</v>
      </c>
      <c r="D82" s="4" t="str">
        <f>'Class Schedule Analysis'!M81</f>
        <v>Physical</v>
      </c>
      <c r="E82" s="28">
        <f>'Class Schedule Analysis'!P81</f>
        <v>46216</v>
      </c>
      <c r="F82" s="28">
        <f>'Class Schedule Analysis'!Q81</f>
        <v>46328</v>
      </c>
      <c r="G82" s="4">
        <f t="shared" si="15"/>
        <v>0</v>
      </c>
      <c r="H82" s="4">
        <f t="shared" si="15"/>
        <v>0</v>
      </c>
      <c r="I82" s="4">
        <f t="shared" si="15"/>
        <v>0</v>
      </c>
      <c r="J82" s="4">
        <f t="shared" si="15"/>
        <v>0</v>
      </c>
      <c r="K82" s="4">
        <f t="shared" si="15"/>
        <v>0</v>
      </c>
      <c r="L82" s="4">
        <f t="shared" si="15"/>
        <v>0</v>
      </c>
      <c r="M82" s="4">
        <f t="shared" si="15"/>
        <v>0</v>
      </c>
      <c r="N82" s="4">
        <f t="shared" si="15"/>
        <v>0</v>
      </c>
      <c r="O82" s="4">
        <f t="shared" si="15"/>
        <v>3</v>
      </c>
      <c r="P82" s="4">
        <f t="shared" si="15"/>
        <v>4</v>
      </c>
      <c r="Q82" s="4">
        <f t="shared" si="16"/>
        <v>4</v>
      </c>
      <c r="R82" s="4">
        <f t="shared" si="16"/>
        <v>5</v>
      </c>
      <c r="S82" s="4">
        <f t="shared" si="16"/>
        <v>0</v>
      </c>
      <c r="T82" s="4">
        <f t="shared" si="16"/>
        <v>0</v>
      </c>
      <c r="U82" s="4">
        <f t="shared" si="16"/>
        <v>0</v>
      </c>
      <c r="V82" s="4">
        <f t="shared" si="16"/>
        <v>0</v>
      </c>
      <c r="W82" s="4">
        <f t="shared" si="16"/>
        <v>0</v>
      </c>
      <c r="X82" s="4">
        <f t="shared" si="16"/>
        <v>0</v>
      </c>
      <c r="Y82" s="4">
        <f t="shared" si="16"/>
        <v>0</v>
      </c>
      <c r="Z82" s="4">
        <f t="shared" si="16"/>
        <v>0</v>
      </c>
      <c r="AA82" s="4">
        <f t="shared" si="16"/>
        <v>0</v>
      </c>
      <c r="AB82" s="4">
        <f t="shared" si="16"/>
        <v>0</v>
      </c>
    </row>
    <row r="83" spans="1:28" x14ac:dyDescent="0.25">
      <c r="A83" s="7">
        <f>'Class Schedule Analysis'!A82</f>
        <v>80</v>
      </c>
      <c r="B83" s="7">
        <f>'Class Schedule Analysis'!C82</f>
        <v>5</v>
      </c>
      <c r="C83" s="29" t="str">
        <f>'Class Schedule Analysis'!J82</f>
        <v>TECH 004</v>
      </c>
      <c r="D83" s="7" t="str">
        <f>'Class Schedule Analysis'!M82</f>
        <v>Physical</v>
      </c>
      <c r="E83" s="30">
        <f>'Class Schedule Analysis'!P82</f>
        <v>46097</v>
      </c>
      <c r="F83" s="30">
        <f>'Class Schedule Analysis'!Q82</f>
        <v>46226</v>
      </c>
      <c r="G83" s="7">
        <f t="shared" si="15"/>
        <v>0</v>
      </c>
      <c r="H83" s="7">
        <f t="shared" si="15"/>
        <v>0</v>
      </c>
      <c r="I83" s="7">
        <f t="shared" si="15"/>
        <v>0</v>
      </c>
      <c r="J83" s="7">
        <f t="shared" si="15"/>
        <v>0</v>
      </c>
      <c r="K83" s="7">
        <f t="shared" si="15"/>
        <v>2</v>
      </c>
      <c r="L83" s="7">
        <f t="shared" si="15"/>
        <v>4</v>
      </c>
      <c r="M83" s="7">
        <f t="shared" si="15"/>
        <v>5</v>
      </c>
      <c r="N83" s="7">
        <f t="shared" si="15"/>
        <v>4</v>
      </c>
      <c r="O83" s="7">
        <f t="shared" si="15"/>
        <v>3</v>
      </c>
      <c r="P83" s="7">
        <f t="shared" si="15"/>
        <v>0</v>
      </c>
      <c r="Q83" s="7">
        <f t="shared" si="16"/>
        <v>0</v>
      </c>
      <c r="R83" s="7">
        <f t="shared" si="16"/>
        <v>0</v>
      </c>
      <c r="S83" s="7">
        <f t="shared" si="16"/>
        <v>0</v>
      </c>
      <c r="T83" s="7">
        <f t="shared" si="16"/>
        <v>0</v>
      </c>
      <c r="U83" s="7">
        <f t="shared" si="16"/>
        <v>0</v>
      </c>
      <c r="V83" s="7">
        <f t="shared" si="16"/>
        <v>0</v>
      </c>
      <c r="W83" s="7">
        <f t="shared" si="16"/>
        <v>0</v>
      </c>
      <c r="X83" s="7">
        <f t="shared" si="16"/>
        <v>0</v>
      </c>
      <c r="Y83" s="7">
        <f t="shared" si="16"/>
        <v>0</v>
      </c>
      <c r="Z83" s="7">
        <f t="shared" si="16"/>
        <v>0</v>
      </c>
      <c r="AA83" s="7">
        <f t="shared" si="16"/>
        <v>0</v>
      </c>
      <c r="AB83" s="7">
        <f t="shared" si="16"/>
        <v>0</v>
      </c>
    </row>
    <row r="84" spans="1:28" x14ac:dyDescent="0.25">
      <c r="A84" s="4">
        <f>'Class Schedule Analysis'!A83</f>
        <v>81</v>
      </c>
      <c r="B84" s="4">
        <f>'Class Schedule Analysis'!C83</f>
        <v>5</v>
      </c>
      <c r="C84" s="23" t="str">
        <f>'Class Schedule Analysis'!J83</f>
        <v>EAST 305</v>
      </c>
      <c r="D84" s="4" t="str">
        <f>'Class Schedule Analysis'!M83</f>
        <v>Physical</v>
      </c>
      <c r="E84" s="28">
        <f>'Class Schedule Analysis'!P83</f>
        <v>46216</v>
      </c>
      <c r="F84" s="28">
        <f>'Class Schedule Analysis'!Q83</f>
        <v>46630</v>
      </c>
      <c r="G84" s="4">
        <f t="shared" ref="G84:P93" si="17">IF(OR($E84="",$F84=""),0,IF(MAX($E84,G$2)&gt;MIN($F84,G$3),0,INT((MIN($F84,G$3)-(MAX($E84,G$2)+MOD($B84-WEEKDAY(MAX($E84,G$2),2),7)))/7)+1))</f>
        <v>0</v>
      </c>
      <c r="H84" s="4">
        <f t="shared" si="17"/>
        <v>0</v>
      </c>
      <c r="I84" s="4">
        <f t="shared" si="17"/>
        <v>0</v>
      </c>
      <c r="J84" s="4">
        <f t="shared" si="17"/>
        <v>0</v>
      </c>
      <c r="K84" s="4">
        <f t="shared" si="17"/>
        <v>0</v>
      </c>
      <c r="L84" s="4">
        <f t="shared" si="17"/>
        <v>0</v>
      </c>
      <c r="M84" s="4">
        <f t="shared" si="17"/>
        <v>0</v>
      </c>
      <c r="N84" s="4">
        <f t="shared" si="17"/>
        <v>0</v>
      </c>
      <c r="O84" s="4">
        <f t="shared" si="17"/>
        <v>3</v>
      </c>
      <c r="P84" s="4">
        <f t="shared" si="17"/>
        <v>4</v>
      </c>
      <c r="Q84" s="4">
        <f t="shared" ref="Q84:AB93" si="18">IF(OR($E84="",$F84=""),0,IF(MAX($E84,Q$2)&gt;MIN($F84,Q$3),0,INT((MIN($F84,Q$3)-(MAX($E84,Q$2)+MOD($B84-WEEKDAY(MAX($E84,Q$2),2),7)))/7)+1))</f>
        <v>4</v>
      </c>
      <c r="R84" s="4">
        <f t="shared" si="18"/>
        <v>5</v>
      </c>
      <c r="S84" s="4">
        <f t="shared" si="18"/>
        <v>4</v>
      </c>
      <c r="T84" s="4">
        <f t="shared" si="18"/>
        <v>4</v>
      </c>
      <c r="U84" s="4">
        <f t="shared" si="18"/>
        <v>5</v>
      </c>
      <c r="V84" s="4">
        <f t="shared" si="18"/>
        <v>4</v>
      </c>
      <c r="W84" s="4">
        <f t="shared" si="18"/>
        <v>4</v>
      </c>
      <c r="X84" s="4">
        <f t="shared" si="18"/>
        <v>5</v>
      </c>
      <c r="Y84" s="4">
        <f t="shared" si="18"/>
        <v>4</v>
      </c>
      <c r="Z84" s="4">
        <f t="shared" si="18"/>
        <v>4</v>
      </c>
      <c r="AA84" s="4">
        <f t="shared" si="18"/>
        <v>5</v>
      </c>
      <c r="AB84" s="4">
        <f t="shared" si="18"/>
        <v>4</v>
      </c>
    </row>
    <row r="85" spans="1:28" x14ac:dyDescent="0.25">
      <c r="A85" s="7">
        <f>'Class Schedule Analysis'!A84</f>
        <v>82</v>
      </c>
      <c r="B85" s="7">
        <f>'Class Schedule Analysis'!C84</f>
        <v>5</v>
      </c>
      <c r="C85" s="29" t="str">
        <f>'Class Schedule Analysis'!J84</f>
        <v>EAST 307</v>
      </c>
      <c r="D85" s="7" t="str">
        <f>'Class Schedule Analysis'!M84</f>
        <v>Hybrid</v>
      </c>
      <c r="E85" s="30">
        <f>'Class Schedule Analysis'!P84</f>
        <v>46190</v>
      </c>
      <c r="F85" s="30">
        <f>'Class Schedule Analysis'!Q84</f>
        <v>46286</v>
      </c>
      <c r="G85" s="7">
        <f t="shared" si="17"/>
        <v>0</v>
      </c>
      <c r="H85" s="7">
        <f t="shared" si="17"/>
        <v>0</v>
      </c>
      <c r="I85" s="7">
        <f t="shared" si="17"/>
        <v>0</v>
      </c>
      <c r="J85" s="7">
        <f t="shared" si="17"/>
        <v>0</v>
      </c>
      <c r="K85" s="7">
        <f t="shared" si="17"/>
        <v>0</v>
      </c>
      <c r="L85" s="7">
        <f t="shared" si="17"/>
        <v>0</v>
      </c>
      <c r="M85" s="7">
        <f t="shared" si="17"/>
        <v>0</v>
      </c>
      <c r="N85" s="7">
        <f t="shared" si="17"/>
        <v>2</v>
      </c>
      <c r="O85" s="7">
        <f t="shared" si="17"/>
        <v>5</v>
      </c>
      <c r="P85" s="7">
        <f t="shared" si="17"/>
        <v>4</v>
      </c>
      <c r="Q85" s="7">
        <f t="shared" si="18"/>
        <v>3</v>
      </c>
      <c r="R85" s="7">
        <f t="shared" si="18"/>
        <v>0</v>
      </c>
      <c r="S85" s="7">
        <f t="shared" si="18"/>
        <v>0</v>
      </c>
      <c r="T85" s="7">
        <f t="shared" si="18"/>
        <v>0</v>
      </c>
      <c r="U85" s="7">
        <f t="shared" si="18"/>
        <v>0</v>
      </c>
      <c r="V85" s="7">
        <f t="shared" si="18"/>
        <v>0</v>
      </c>
      <c r="W85" s="7">
        <f t="shared" si="18"/>
        <v>0</v>
      </c>
      <c r="X85" s="7">
        <f t="shared" si="18"/>
        <v>0</v>
      </c>
      <c r="Y85" s="7">
        <f t="shared" si="18"/>
        <v>0</v>
      </c>
      <c r="Z85" s="7">
        <f t="shared" si="18"/>
        <v>0</v>
      </c>
      <c r="AA85" s="7">
        <f t="shared" si="18"/>
        <v>0</v>
      </c>
      <c r="AB85" s="7">
        <f t="shared" si="18"/>
        <v>0</v>
      </c>
    </row>
    <row r="86" spans="1:28" x14ac:dyDescent="0.25">
      <c r="A86" s="4">
        <f>'Class Schedule Analysis'!A85</f>
        <v>83</v>
      </c>
      <c r="B86" s="4">
        <f>'Class Schedule Analysis'!C85</f>
        <v>5</v>
      </c>
      <c r="C86" s="23" t="str">
        <f>'Class Schedule Analysis'!J85</f>
        <v>WEST 101</v>
      </c>
      <c r="D86" s="4" t="str">
        <f>'Class Schedule Analysis'!M85</f>
        <v>Physical</v>
      </c>
      <c r="E86" s="28">
        <f>'Class Schedule Analysis'!P85</f>
        <v>46147</v>
      </c>
      <c r="F86" s="28">
        <f>'Class Schedule Analysis'!Q85</f>
        <v>46259</v>
      </c>
      <c r="G86" s="4">
        <f t="shared" si="17"/>
        <v>0</v>
      </c>
      <c r="H86" s="4">
        <f t="shared" si="17"/>
        <v>0</v>
      </c>
      <c r="I86" s="4">
        <f t="shared" si="17"/>
        <v>0</v>
      </c>
      <c r="J86" s="4">
        <f t="shared" si="17"/>
        <v>0</v>
      </c>
      <c r="K86" s="4">
        <f t="shared" si="17"/>
        <v>0</v>
      </c>
      <c r="L86" s="4">
        <f t="shared" si="17"/>
        <v>0</v>
      </c>
      <c r="M86" s="4">
        <f t="shared" si="17"/>
        <v>4</v>
      </c>
      <c r="N86" s="4">
        <f t="shared" si="17"/>
        <v>4</v>
      </c>
      <c r="O86" s="4">
        <f t="shared" si="17"/>
        <v>5</v>
      </c>
      <c r="P86" s="4">
        <f t="shared" si="17"/>
        <v>3</v>
      </c>
      <c r="Q86" s="4">
        <f t="shared" si="18"/>
        <v>0</v>
      </c>
      <c r="R86" s="4">
        <f t="shared" si="18"/>
        <v>0</v>
      </c>
      <c r="S86" s="4">
        <f t="shared" si="18"/>
        <v>0</v>
      </c>
      <c r="T86" s="4">
        <f t="shared" si="18"/>
        <v>0</v>
      </c>
      <c r="U86" s="4">
        <f t="shared" si="18"/>
        <v>0</v>
      </c>
      <c r="V86" s="4">
        <f t="shared" si="18"/>
        <v>0</v>
      </c>
      <c r="W86" s="4">
        <f t="shared" si="18"/>
        <v>0</v>
      </c>
      <c r="X86" s="4">
        <f t="shared" si="18"/>
        <v>0</v>
      </c>
      <c r="Y86" s="4">
        <f t="shared" si="18"/>
        <v>0</v>
      </c>
      <c r="Z86" s="4">
        <f t="shared" si="18"/>
        <v>0</v>
      </c>
      <c r="AA86" s="4">
        <f t="shared" si="18"/>
        <v>0</v>
      </c>
      <c r="AB86" s="4">
        <f t="shared" si="18"/>
        <v>0</v>
      </c>
    </row>
    <row r="87" spans="1:28" x14ac:dyDescent="0.25">
      <c r="A87" s="7">
        <f>'Class Schedule Analysis'!A86</f>
        <v>84</v>
      </c>
      <c r="B87" s="7">
        <f>'Class Schedule Analysis'!C86</f>
        <v>5</v>
      </c>
      <c r="C87" s="29" t="str">
        <f>'Class Schedule Analysis'!J86</f>
        <v>WEST 105</v>
      </c>
      <c r="D87" s="7" t="str">
        <f>'Class Schedule Analysis'!M86</f>
        <v>Physical</v>
      </c>
      <c r="E87" s="30">
        <f>'Class Schedule Analysis'!P86</f>
        <v>46139</v>
      </c>
      <c r="F87" s="30">
        <f>'Class Schedule Analysis'!Q86</f>
        <v>46261</v>
      </c>
      <c r="G87" s="7">
        <f t="shared" si="17"/>
        <v>0</v>
      </c>
      <c r="H87" s="7">
        <f t="shared" si="17"/>
        <v>0</v>
      </c>
      <c r="I87" s="7">
        <f t="shared" si="17"/>
        <v>0</v>
      </c>
      <c r="J87" s="7">
        <f t="shared" si="17"/>
        <v>0</v>
      </c>
      <c r="K87" s="7">
        <f t="shared" si="17"/>
        <v>0</v>
      </c>
      <c r="L87" s="7">
        <f t="shared" si="17"/>
        <v>0</v>
      </c>
      <c r="M87" s="7">
        <f t="shared" si="17"/>
        <v>5</v>
      </c>
      <c r="N87" s="7">
        <f t="shared" si="17"/>
        <v>4</v>
      </c>
      <c r="O87" s="7">
        <f t="shared" si="17"/>
        <v>5</v>
      </c>
      <c r="P87" s="7">
        <f t="shared" si="17"/>
        <v>3</v>
      </c>
      <c r="Q87" s="7">
        <f t="shared" si="18"/>
        <v>0</v>
      </c>
      <c r="R87" s="7">
        <f t="shared" si="18"/>
        <v>0</v>
      </c>
      <c r="S87" s="7">
        <f t="shared" si="18"/>
        <v>0</v>
      </c>
      <c r="T87" s="7">
        <f t="shared" si="18"/>
        <v>0</v>
      </c>
      <c r="U87" s="7">
        <f t="shared" si="18"/>
        <v>0</v>
      </c>
      <c r="V87" s="7">
        <f t="shared" si="18"/>
        <v>0</v>
      </c>
      <c r="W87" s="7">
        <f t="shared" si="18"/>
        <v>0</v>
      </c>
      <c r="X87" s="7">
        <f t="shared" si="18"/>
        <v>0</v>
      </c>
      <c r="Y87" s="7">
        <f t="shared" si="18"/>
        <v>0</v>
      </c>
      <c r="Z87" s="7">
        <f t="shared" si="18"/>
        <v>0</v>
      </c>
      <c r="AA87" s="7">
        <f t="shared" si="18"/>
        <v>0</v>
      </c>
      <c r="AB87" s="7">
        <f t="shared" si="18"/>
        <v>0</v>
      </c>
    </row>
    <row r="88" spans="1:28" x14ac:dyDescent="0.25">
      <c r="A88" s="4">
        <f>'Class Schedule Analysis'!A87</f>
        <v>85</v>
      </c>
      <c r="B88" s="4">
        <f>'Class Schedule Analysis'!C87</f>
        <v>5</v>
      </c>
      <c r="C88" s="23" t="str">
        <f>'Class Schedule Analysis'!J87</f>
        <v>WEST 005</v>
      </c>
      <c r="D88" s="4" t="str">
        <f>'Class Schedule Analysis'!M87</f>
        <v>Physical</v>
      </c>
      <c r="E88" s="28">
        <f>'Class Schedule Analysis'!P87</f>
        <v>46097</v>
      </c>
      <c r="F88" s="28">
        <f>'Class Schedule Analysis'!Q87</f>
        <v>46226</v>
      </c>
      <c r="G88" s="4">
        <f t="shared" si="17"/>
        <v>0</v>
      </c>
      <c r="H88" s="4">
        <f t="shared" si="17"/>
        <v>0</v>
      </c>
      <c r="I88" s="4">
        <f t="shared" si="17"/>
        <v>0</v>
      </c>
      <c r="J88" s="4">
        <f t="shared" si="17"/>
        <v>0</v>
      </c>
      <c r="K88" s="4">
        <f t="shared" si="17"/>
        <v>2</v>
      </c>
      <c r="L88" s="4">
        <f t="shared" si="17"/>
        <v>4</v>
      </c>
      <c r="M88" s="4">
        <f t="shared" si="17"/>
        <v>5</v>
      </c>
      <c r="N88" s="4">
        <f t="shared" si="17"/>
        <v>4</v>
      </c>
      <c r="O88" s="4">
        <f t="shared" si="17"/>
        <v>3</v>
      </c>
      <c r="P88" s="4">
        <f t="shared" si="17"/>
        <v>0</v>
      </c>
      <c r="Q88" s="4">
        <f t="shared" si="18"/>
        <v>0</v>
      </c>
      <c r="R88" s="4">
        <f t="shared" si="18"/>
        <v>0</v>
      </c>
      <c r="S88" s="4">
        <f t="shared" si="18"/>
        <v>0</v>
      </c>
      <c r="T88" s="4">
        <f t="shared" si="18"/>
        <v>0</v>
      </c>
      <c r="U88" s="4">
        <f t="shared" si="18"/>
        <v>0</v>
      </c>
      <c r="V88" s="4">
        <f t="shared" si="18"/>
        <v>0</v>
      </c>
      <c r="W88" s="4">
        <f t="shared" si="18"/>
        <v>0</v>
      </c>
      <c r="X88" s="4">
        <f t="shared" si="18"/>
        <v>0</v>
      </c>
      <c r="Y88" s="4">
        <f t="shared" si="18"/>
        <v>0</v>
      </c>
      <c r="Z88" s="4">
        <f t="shared" si="18"/>
        <v>0</v>
      </c>
      <c r="AA88" s="4">
        <f t="shared" si="18"/>
        <v>0</v>
      </c>
      <c r="AB88" s="4">
        <f t="shared" si="18"/>
        <v>0</v>
      </c>
    </row>
    <row r="89" spans="1:28" x14ac:dyDescent="0.25">
      <c r="A89" s="7">
        <f>'Class Schedule Analysis'!A88</f>
        <v>86</v>
      </c>
      <c r="B89" s="7">
        <f>'Class Schedule Analysis'!C88</f>
        <v>5</v>
      </c>
      <c r="C89" s="29" t="str">
        <f>'Class Schedule Analysis'!J88</f>
        <v>TECH 001</v>
      </c>
      <c r="D89" s="7" t="str">
        <f>'Class Schedule Analysis'!M88</f>
        <v>Physical</v>
      </c>
      <c r="E89" s="30">
        <f>'Class Schedule Analysis'!P88</f>
        <v>46216</v>
      </c>
      <c r="F89" s="30">
        <f>'Class Schedule Analysis'!Q88</f>
        <v>46328</v>
      </c>
      <c r="G89" s="7">
        <f t="shared" si="17"/>
        <v>0</v>
      </c>
      <c r="H89" s="7">
        <f t="shared" si="17"/>
        <v>0</v>
      </c>
      <c r="I89" s="7">
        <f t="shared" si="17"/>
        <v>0</v>
      </c>
      <c r="J89" s="7">
        <f t="shared" si="17"/>
        <v>0</v>
      </c>
      <c r="K89" s="7">
        <f t="shared" si="17"/>
        <v>0</v>
      </c>
      <c r="L89" s="7">
        <f t="shared" si="17"/>
        <v>0</v>
      </c>
      <c r="M89" s="7">
        <f t="shared" si="17"/>
        <v>0</v>
      </c>
      <c r="N89" s="7">
        <f t="shared" si="17"/>
        <v>0</v>
      </c>
      <c r="O89" s="7">
        <f t="shared" si="17"/>
        <v>3</v>
      </c>
      <c r="P89" s="7">
        <f t="shared" si="17"/>
        <v>4</v>
      </c>
      <c r="Q89" s="7">
        <f t="shared" si="18"/>
        <v>4</v>
      </c>
      <c r="R89" s="7">
        <f t="shared" si="18"/>
        <v>5</v>
      </c>
      <c r="S89" s="7">
        <f t="shared" si="18"/>
        <v>0</v>
      </c>
      <c r="T89" s="7">
        <f t="shared" si="18"/>
        <v>0</v>
      </c>
      <c r="U89" s="7">
        <f t="shared" si="18"/>
        <v>0</v>
      </c>
      <c r="V89" s="7">
        <f t="shared" si="18"/>
        <v>0</v>
      </c>
      <c r="W89" s="7">
        <f t="shared" si="18"/>
        <v>0</v>
      </c>
      <c r="X89" s="7">
        <f t="shared" si="18"/>
        <v>0</v>
      </c>
      <c r="Y89" s="7">
        <f t="shared" si="18"/>
        <v>0</v>
      </c>
      <c r="Z89" s="7">
        <f t="shared" si="18"/>
        <v>0</v>
      </c>
      <c r="AA89" s="7">
        <f t="shared" si="18"/>
        <v>0</v>
      </c>
      <c r="AB89" s="7">
        <f t="shared" si="18"/>
        <v>0</v>
      </c>
    </row>
    <row r="90" spans="1:28" x14ac:dyDescent="0.25">
      <c r="A90" s="4">
        <f>'Class Schedule Analysis'!A89</f>
        <v>87</v>
      </c>
      <c r="B90" s="4">
        <f>'Class Schedule Analysis'!C89</f>
        <v>5</v>
      </c>
      <c r="C90" s="23" t="str">
        <f>'Class Schedule Analysis'!J89</f>
        <v>TECH 002</v>
      </c>
      <c r="D90" s="4" t="str">
        <f>'Class Schedule Analysis'!M89</f>
        <v>Physical</v>
      </c>
      <c r="E90" s="28">
        <f>'Class Schedule Analysis'!P89</f>
        <v>46097</v>
      </c>
      <c r="F90" s="28">
        <f>'Class Schedule Analysis'!Q89</f>
        <v>46226</v>
      </c>
      <c r="G90" s="4">
        <f t="shared" si="17"/>
        <v>0</v>
      </c>
      <c r="H90" s="4">
        <f t="shared" si="17"/>
        <v>0</v>
      </c>
      <c r="I90" s="4">
        <f t="shared" si="17"/>
        <v>0</v>
      </c>
      <c r="J90" s="4">
        <f t="shared" si="17"/>
        <v>0</v>
      </c>
      <c r="K90" s="4">
        <f t="shared" si="17"/>
        <v>2</v>
      </c>
      <c r="L90" s="4">
        <f t="shared" si="17"/>
        <v>4</v>
      </c>
      <c r="M90" s="4">
        <f t="shared" si="17"/>
        <v>5</v>
      </c>
      <c r="N90" s="4">
        <f t="shared" si="17"/>
        <v>4</v>
      </c>
      <c r="O90" s="4">
        <f t="shared" si="17"/>
        <v>3</v>
      </c>
      <c r="P90" s="4">
        <f t="shared" si="17"/>
        <v>0</v>
      </c>
      <c r="Q90" s="4">
        <f t="shared" si="18"/>
        <v>0</v>
      </c>
      <c r="R90" s="4">
        <f t="shared" si="18"/>
        <v>0</v>
      </c>
      <c r="S90" s="4">
        <f t="shared" si="18"/>
        <v>0</v>
      </c>
      <c r="T90" s="4">
        <f t="shared" si="18"/>
        <v>0</v>
      </c>
      <c r="U90" s="4">
        <f t="shared" si="18"/>
        <v>0</v>
      </c>
      <c r="V90" s="4">
        <f t="shared" si="18"/>
        <v>0</v>
      </c>
      <c r="W90" s="4">
        <f t="shared" si="18"/>
        <v>0</v>
      </c>
      <c r="X90" s="4">
        <f t="shared" si="18"/>
        <v>0</v>
      </c>
      <c r="Y90" s="4">
        <f t="shared" si="18"/>
        <v>0</v>
      </c>
      <c r="Z90" s="4">
        <f t="shared" si="18"/>
        <v>0</v>
      </c>
      <c r="AA90" s="4">
        <f t="shared" si="18"/>
        <v>0</v>
      </c>
      <c r="AB90" s="4">
        <f t="shared" si="18"/>
        <v>0</v>
      </c>
    </row>
    <row r="91" spans="1:28" x14ac:dyDescent="0.25">
      <c r="A91" s="7">
        <f>'Class Schedule Analysis'!A90</f>
        <v>88</v>
      </c>
      <c r="B91" s="7">
        <f>'Class Schedule Analysis'!C90</f>
        <v>5</v>
      </c>
      <c r="C91" s="29" t="str">
        <f>'Class Schedule Analysis'!J90</f>
        <v>TECH 003</v>
      </c>
      <c r="D91" s="7" t="str">
        <f>'Class Schedule Analysis'!M90</f>
        <v>Physical</v>
      </c>
      <c r="E91" s="30">
        <f>'Class Schedule Analysis'!P90</f>
        <v>46097</v>
      </c>
      <c r="F91" s="30">
        <f>'Class Schedule Analysis'!Q90</f>
        <v>46226</v>
      </c>
      <c r="G91" s="7">
        <f t="shared" si="17"/>
        <v>0</v>
      </c>
      <c r="H91" s="7">
        <f t="shared" si="17"/>
        <v>0</v>
      </c>
      <c r="I91" s="7">
        <f t="shared" si="17"/>
        <v>0</v>
      </c>
      <c r="J91" s="7">
        <f t="shared" si="17"/>
        <v>0</v>
      </c>
      <c r="K91" s="7">
        <f t="shared" si="17"/>
        <v>2</v>
      </c>
      <c r="L91" s="7">
        <f t="shared" si="17"/>
        <v>4</v>
      </c>
      <c r="M91" s="7">
        <f t="shared" si="17"/>
        <v>5</v>
      </c>
      <c r="N91" s="7">
        <f t="shared" si="17"/>
        <v>4</v>
      </c>
      <c r="O91" s="7">
        <f t="shared" si="17"/>
        <v>3</v>
      </c>
      <c r="P91" s="7">
        <f t="shared" si="17"/>
        <v>0</v>
      </c>
      <c r="Q91" s="7">
        <f t="shared" si="18"/>
        <v>0</v>
      </c>
      <c r="R91" s="7">
        <f t="shared" si="18"/>
        <v>0</v>
      </c>
      <c r="S91" s="7">
        <f t="shared" si="18"/>
        <v>0</v>
      </c>
      <c r="T91" s="7">
        <f t="shared" si="18"/>
        <v>0</v>
      </c>
      <c r="U91" s="7">
        <f t="shared" si="18"/>
        <v>0</v>
      </c>
      <c r="V91" s="7">
        <f t="shared" si="18"/>
        <v>0</v>
      </c>
      <c r="W91" s="7">
        <f t="shared" si="18"/>
        <v>0</v>
      </c>
      <c r="X91" s="7">
        <f t="shared" si="18"/>
        <v>0</v>
      </c>
      <c r="Y91" s="7">
        <f t="shared" si="18"/>
        <v>0</v>
      </c>
      <c r="Z91" s="7">
        <f t="shared" si="18"/>
        <v>0</v>
      </c>
      <c r="AA91" s="7">
        <f t="shared" si="18"/>
        <v>0</v>
      </c>
      <c r="AB91" s="7">
        <f t="shared" si="18"/>
        <v>0</v>
      </c>
    </row>
    <row r="92" spans="1:28" x14ac:dyDescent="0.25">
      <c r="A92" s="4">
        <f>'Class Schedule Analysis'!A91</f>
        <v>89</v>
      </c>
      <c r="B92" s="4">
        <f>'Class Schedule Analysis'!C91</f>
        <v>6</v>
      </c>
      <c r="C92" s="23" t="str">
        <f>'Class Schedule Analysis'!J91</f>
        <v>WEST 101</v>
      </c>
      <c r="D92" s="4" t="str">
        <f>'Class Schedule Analysis'!M91</f>
        <v>Physical</v>
      </c>
      <c r="E92" s="28">
        <f>'Class Schedule Analysis'!P91</f>
        <v>46214</v>
      </c>
      <c r="F92" s="28">
        <f>'Class Schedule Analysis'!Q91</f>
        <v>46361</v>
      </c>
      <c r="G92" s="4">
        <f t="shared" si="17"/>
        <v>0</v>
      </c>
      <c r="H92" s="4">
        <f t="shared" si="17"/>
        <v>0</v>
      </c>
      <c r="I92" s="4">
        <f t="shared" si="17"/>
        <v>0</v>
      </c>
      <c r="J92" s="4">
        <f t="shared" si="17"/>
        <v>0</v>
      </c>
      <c r="K92" s="4">
        <f t="shared" si="17"/>
        <v>0</v>
      </c>
      <c r="L92" s="4">
        <f t="shared" si="17"/>
        <v>0</v>
      </c>
      <c r="M92" s="4">
        <f t="shared" si="17"/>
        <v>0</v>
      </c>
      <c r="N92" s="4">
        <f t="shared" si="17"/>
        <v>0</v>
      </c>
      <c r="O92" s="4">
        <f t="shared" si="17"/>
        <v>3</v>
      </c>
      <c r="P92" s="4">
        <f t="shared" si="17"/>
        <v>5</v>
      </c>
      <c r="Q92" s="4">
        <f t="shared" si="18"/>
        <v>4</v>
      </c>
      <c r="R92" s="4">
        <f t="shared" si="18"/>
        <v>5</v>
      </c>
      <c r="S92" s="4">
        <f t="shared" si="18"/>
        <v>4</v>
      </c>
      <c r="T92" s="4">
        <f t="shared" si="18"/>
        <v>1</v>
      </c>
      <c r="U92" s="4">
        <f t="shared" si="18"/>
        <v>0</v>
      </c>
      <c r="V92" s="4">
        <f t="shared" si="18"/>
        <v>0</v>
      </c>
      <c r="W92" s="4">
        <f t="shared" si="18"/>
        <v>0</v>
      </c>
      <c r="X92" s="4">
        <f t="shared" si="18"/>
        <v>0</v>
      </c>
      <c r="Y92" s="4">
        <f t="shared" si="18"/>
        <v>0</v>
      </c>
      <c r="Z92" s="4">
        <f t="shared" si="18"/>
        <v>0</v>
      </c>
      <c r="AA92" s="4">
        <f t="shared" si="18"/>
        <v>0</v>
      </c>
      <c r="AB92" s="4">
        <f t="shared" si="18"/>
        <v>0</v>
      </c>
    </row>
    <row r="93" spans="1:28" x14ac:dyDescent="0.25">
      <c r="A93" s="7">
        <f>'Class Schedule Analysis'!A92</f>
        <v>90</v>
      </c>
      <c r="B93" s="7">
        <f>'Class Schedule Analysis'!C92</f>
        <v>6</v>
      </c>
      <c r="C93" s="29" t="str">
        <f>'Class Schedule Analysis'!J92</f>
        <v>WEST 102</v>
      </c>
      <c r="D93" s="7" t="str">
        <f>'Class Schedule Analysis'!M92</f>
        <v>Hybrid</v>
      </c>
      <c r="E93" s="30">
        <f>'Class Schedule Analysis'!P92</f>
        <v>0</v>
      </c>
      <c r="F93" s="30">
        <f>'Class Schedule Analysis'!Q92</f>
        <v>0</v>
      </c>
      <c r="G93" s="7">
        <f t="shared" si="17"/>
        <v>0</v>
      </c>
      <c r="H93" s="7">
        <f t="shared" si="17"/>
        <v>0</v>
      </c>
      <c r="I93" s="7">
        <f t="shared" si="17"/>
        <v>0</v>
      </c>
      <c r="J93" s="7">
        <f t="shared" si="17"/>
        <v>0</v>
      </c>
      <c r="K93" s="7">
        <f t="shared" si="17"/>
        <v>0</v>
      </c>
      <c r="L93" s="7">
        <f t="shared" si="17"/>
        <v>0</v>
      </c>
      <c r="M93" s="7">
        <f t="shared" si="17"/>
        <v>0</v>
      </c>
      <c r="N93" s="7">
        <f t="shared" si="17"/>
        <v>0</v>
      </c>
      <c r="O93" s="7">
        <f t="shared" si="17"/>
        <v>0</v>
      </c>
      <c r="P93" s="7">
        <f t="shared" si="17"/>
        <v>0</v>
      </c>
      <c r="Q93" s="7">
        <f t="shared" si="18"/>
        <v>0</v>
      </c>
      <c r="R93" s="7">
        <f t="shared" si="18"/>
        <v>0</v>
      </c>
      <c r="S93" s="7">
        <f t="shared" si="18"/>
        <v>0</v>
      </c>
      <c r="T93" s="7">
        <f t="shared" si="18"/>
        <v>0</v>
      </c>
      <c r="U93" s="7">
        <f t="shared" si="18"/>
        <v>0</v>
      </c>
      <c r="V93" s="7">
        <f t="shared" si="18"/>
        <v>0</v>
      </c>
      <c r="W93" s="7">
        <f t="shared" si="18"/>
        <v>0</v>
      </c>
      <c r="X93" s="7">
        <f t="shared" si="18"/>
        <v>0</v>
      </c>
      <c r="Y93" s="7">
        <f t="shared" si="18"/>
        <v>0</v>
      </c>
      <c r="Z93" s="7">
        <f t="shared" si="18"/>
        <v>0</v>
      </c>
      <c r="AA93" s="7">
        <f t="shared" si="18"/>
        <v>0</v>
      </c>
      <c r="AB93" s="7">
        <f t="shared" si="18"/>
        <v>0</v>
      </c>
    </row>
    <row r="94" spans="1:28" x14ac:dyDescent="0.25">
      <c r="A94" s="4">
        <f>'Class Schedule Analysis'!A93</f>
        <v>91</v>
      </c>
      <c r="B94" s="4">
        <f>'Class Schedule Analysis'!C93</f>
        <v>6</v>
      </c>
      <c r="C94" s="23" t="str">
        <f>'Class Schedule Analysis'!J93</f>
        <v>WEST 103</v>
      </c>
      <c r="D94" s="4" t="str">
        <f>'Class Schedule Analysis'!M93</f>
        <v>Physical</v>
      </c>
      <c r="E94" s="28">
        <f>'Class Schedule Analysis'!P93</f>
        <v>46214</v>
      </c>
      <c r="F94" s="28">
        <f>'Class Schedule Analysis'!Q93</f>
        <v>46337</v>
      </c>
      <c r="G94" s="4">
        <f t="shared" ref="G94:P103" si="19">IF(OR($E94="",$F94=""),0,IF(MAX($E94,G$2)&gt;MIN($F94,G$3),0,INT((MIN($F94,G$3)-(MAX($E94,G$2)+MOD($B94-WEEKDAY(MAX($E94,G$2),2),7)))/7)+1))</f>
        <v>0</v>
      </c>
      <c r="H94" s="4">
        <f t="shared" si="19"/>
        <v>0</v>
      </c>
      <c r="I94" s="4">
        <f t="shared" si="19"/>
        <v>0</v>
      </c>
      <c r="J94" s="4">
        <f t="shared" si="19"/>
        <v>0</v>
      </c>
      <c r="K94" s="4">
        <f t="shared" si="19"/>
        <v>0</v>
      </c>
      <c r="L94" s="4">
        <f t="shared" si="19"/>
        <v>0</v>
      </c>
      <c r="M94" s="4">
        <f t="shared" si="19"/>
        <v>0</v>
      </c>
      <c r="N94" s="4">
        <f t="shared" si="19"/>
        <v>0</v>
      </c>
      <c r="O94" s="4">
        <f t="shared" si="19"/>
        <v>3</v>
      </c>
      <c r="P94" s="4">
        <f t="shared" si="19"/>
        <v>5</v>
      </c>
      <c r="Q94" s="4">
        <f t="shared" ref="Q94:AB103" si="20">IF(OR($E94="",$F94=""),0,IF(MAX($E94,Q$2)&gt;MIN($F94,Q$3),0,INT((MIN($F94,Q$3)-(MAX($E94,Q$2)+MOD($B94-WEEKDAY(MAX($E94,Q$2),2),7)))/7)+1))</f>
        <v>4</v>
      </c>
      <c r="R94" s="4">
        <f t="shared" si="20"/>
        <v>5</v>
      </c>
      <c r="S94" s="4">
        <f t="shared" si="20"/>
        <v>1</v>
      </c>
      <c r="T94" s="4">
        <f t="shared" si="20"/>
        <v>0</v>
      </c>
      <c r="U94" s="4">
        <f t="shared" si="20"/>
        <v>0</v>
      </c>
      <c r="V94" s="4">
        <f t="shared" si="20"/>
        <v>0</v>
      </c>
      <c r="W94" s="4">
        <f t="shared" si="20"/>
        <v>0</v>
      </c>
      <c r="X94" s="4">
        <f t="shared" si="20"/>
        <v>0</v>
      </c>
      <c r="Y94" s="4">
        <f t="shared" si="20"/>
        <v>0</v>
      </c>
      <c r="Z94" s="4">
        <f t="shared" si="20"/>
        <v>0</v>
      </c>
      <c r="AA94" s="4">
        <f t="shared" si="20"/>
        <v>0</v>
      </c>
      <c r="AB94" s="4">
        <f t="shared" si="20"/>
        <v>0</v>
      </c>
    </row>
    <row r="95" spans="1:28" x14ac:dyDescent="0.25">
      <c r="A95" s="7">
        <f>'Class Schedule Analysis'!A94</f>
        <v>92</v>
      </c>
      <c r="B95" s="7">
        <f>'Class Schedule Analysis'!C94</f>
        <v>6</v>
      </c>
      <c r="C95" s="29" t="str">
        <f>'Class Schedule Analysis'!J94</f>
        <v>WEST 104</v>
      </c>
      <c r="D95" s="7" t="str">
        <f>'Class Schedule Analysis'!M94</f>
        <v>Physical</v>
      </c>
      <c r="E95" s="30">
        <f>'Class Schedule Analysis'!P94</f>
        <v>46193</v>
      </c>
      <c r="F95" s="30">
        <f>'Class Schedule Analysis'!Q94</f>
        <v>46376</v>
      </c>
      <c r="G95" s="7">
        <f t="shared" si="19"/>
        <v>0</v>
      </c>
      <c r="H95" s="7">
        <f t="shared" si="19"/>
        <v>0</v>
      </c>
      <c r="I95" s="7">
        <f t="shared" si="19"/>
        <v>0</v>
      </c>
      <c r="J95" s="7">
        <f t="shared" si="19"/>
        <v>0</v>
      </c>
      <c r="K95" s="7">
        <f t="shared" si="19"/>
        <v>0</v>
      </c>
      <c r="L95" s="7">
        <f t="shared" si="19"/>
        <v>0</v>
      </c>
      <c r="M95" s="7">
        <f t="shared" si="19"/>
        <v>0</v>
      </c>
      <c r="N95" s="7">
        <f t="shared" si="19"/>
        <v>2</v>
      </c>
      <c r="O95" s="7">
        <f t="shared" si="19"/>
        <v>4</v>
      </c>
      <c r="P95" s="7">
        <f t="shared" si="19"/>
        <v>5</v>
      </c>
      <c r="Q95" s="7">
        <f t="shared" si="20"/>
        <v>4</v>
      </c>
      <c r="R95" s="7">
        <f t="shared" si="20"/>
        <v>5</v>
      </c>
      <c r="S95" s="7">
        <f t="shared" si="20"/>
        <v>4</v>
      </c>
      <c r="T95" s="7">
        <f t="shared" si="20"/>
        <v>3</v>
      </c>
      <c r="U95" s="7">
        <f t="shared" si="20"/>
        <v>0</v>
      </c>
      <c r="V95" s="7">
        <f t="shared" si="20"/>
        <v>0</v>
      </c>
      <c r="W95" s="7">
        <f t="shared" si="20"/>
        <v>0</v>
      </c>
      <c r="X95" s="7">
        <f t="shared" si="20"/>
        <v>0</v>
      </c>
      <c r="Y95" s="7">
        <f t="shared" si="20"/>
        <v>0</v>
      </c>
      <c r="Z95" s="7">
        <f t="shared" si="20"/>
        <v>0</v>
      </c>
      <c r="AA95" s="7">
        <f t="shared" si="20"/>
        <v>0</v>
      </c>
      <c r="AB95" s="7">
        <f t="shared" si="20"/>
        <v>0</v>
      </c>
    </row>
    <row r="96" spans="1:28" x14ac:dyDescent="0.25">
      <c r="A96" s="4">
        <f>'Class Schedule Analysis'!A95</f>
        <v>93</v>
      </c>
      <c r="B96" s="4">
        <f>'Class Schedule Analysis'!C95</f>
        <v>6</v>
      </c>
      <c r="C96" s="23" t="str">
        <f>'Class Schedule Analysis'!J95</f>
        <v>WEST 104</v>
      </c>
      <c r="D96" s="4" t="str">
        <f>'Class Schedule Analysis'!M95</f>
        <v>Online</v>
      </c>
      <c r="E96" s="28">
        <f>'Class Schedule Analysis'!P95</f>
        <v>46214</v>
      </c>
      <c r="F96" s="28">
        <f>'Class Schedule Analysis'!Q95</f>
        <v>46326</v>
      </c>
      <c r="G96" s="4">
        <f t="shared" si="19"/>
        <v>0</v>
      </c>
      <c r="H96" s="4">
        <f t="shared" si="19"/>
        <v>0</v>
      </c>
      <c r="I96" s="4">
        <f t="shared" si="19"/>
        <v>0</v>
      </c>
      <c r="J96" s="4">
        <f t="shared" si="19"/>
        <v>0</v>
      </c>
      <c r="K96" s="4">
        <f t="shared" si="19"/>
        <v>0</v>
      </c>
      <c r="L96" s="4">
        <f t="shared" si="19"/>
        <v>0</v>
      </c>
      <c r="M96" s="4">
        <f t="shared" si="19"/>
        <v>0</v>
      </c>
      <c r="N96" s="4">
        <f t="shared" si="19"/>
        <v>0</v>
      </c>
      <c r="O96" s="4">
        <f t="shared" si="19"/>
        <v>3</v>
      </c>
      <c r="P96" s="4">
        <f t="shared" si="19"/>
        <v>5</v>
      </c>
      <c r="Q96" s="4">
        <f t="shared" si="20"/>
        <v>4</v>
      </c>
      <c r="R96" s="4">
        <f t="shared" si="20"/>
        <v>5</v>
      </c>
      <c r="S96" s="4">
        <f t="shared" si="20"/>
        <v>0</v>
      </c>
      <c r="T96" s="4">
        <f t="shared" si="20"/>
        <v>0</v>
      </c>
      <c r="U96" s="4">
        <f t="shared" si="20"/>
        <v>0</v>
      </c>
      <c r="V96" s="4">
        <f t="shared" si="20"/>
        <v>0</v>
      </c>
      <c r="W96" s="4">
        <f t="shared" si="20"/>
        <v>0</v>
      </c>
      <c r="X96" s="4">
        <f t="shared" si="20"/>
        <v>0</v>
      </c>
      <c r="Y96" s="4">
        <f t="shared" si="20"/>
        <v>0</v>
      </c>
      <c r="Z96" s="4">
        <f t="shared" si="20"/>
        <v>0</v>
      </c>
      <c r="AA96" s="4">
        <f t="shared" si="20"/>
        <v>0</v>
      </c>
      <c r="AB96" s="4">
        <f t="shared" si="20"/>
        <v>0</v>
      </c>
    </row>
    <row r="97" spans="1:28" x14ac:dyDescent="0.25">
      <c r="A97" s="7">
        <f>'Class Schedule Analysis'!A96</f>
        <v>94</v>
      </c>
      <c r="B97" s="7">
        <f>'Class Schedule Analysis'!C96</f>
        <v>6</v>
      </c>
      <c r="C97" s="29" t="str">
        <f>'Class Schedule Analysis'!J96</f>
        <v>WEST 105</v>
      </c>
      <c r="D97" s="7" t="str">
        <f>'Class Schedule Analysis'!M96</f>
        <v>Physical</v>
      </c>
      <c r="E97" s="30">
        <f>'Class Schedule Analysis'!P96</f>
        <v>46117</v>
      </c>
      <c r="F97" s="30">
        <f>'Class Schedule Analysis'!Q96</f>
        <v>46250</v>
      </c>
      <c r="G97" s="7">
        <f t="shared" si="19"/>
        <v>0</v>
      </c>
      <c r="H97" s="7">
        <f t="shared" si="19"/>
        <v>0</v>
      </c>
      <c r="I97" s="7">
        <f t="shared" si="19"/>
        <v>0</v>
      </c>
      <c r="J97" s="7">
        <f t="shared" si="19"/>
        <v>0</v>
      </c>
      <c r="K97" s="7">
        <f t="shared" si="19"/>
        <v>0</v>
      </c>
      <c r="L97" s="7">
        <f t="shared" si="19"/>
        <v>3</v>
      </c>
      <c r="M97" s="7">
        <f t="shared" si="19"/>
        <v>5</v>
      </c>
      <c r="N97" s="7">
        <f t="shared" si="19"/>
        <v>4</v>
      </c>
      <c r="O97" s="7">
        <f t="shared" si="19"/>
        <v>4</v>
      </c>
      <c r="P97" s="7">
        <f t="shared" si="19"/>
        <v>3</v>
      </c>
      <c r="Q97" s="7">
        <f t="shared" si="20"/>
        <v>0</v>
      </c>
      <c r="R97" s="7">
        <f t="shared" si="20"/>
        <v>0</v>
      </c>
      <c r="S97" s="7">
        <f t="shared" si="20"/>
        <v>0</v>
      </c>
      <c r="T97" s="7">
        <f t="shared" si="20"/>
        <v>0</v>
      </c>
      <c r="U97" s="7">
        <f t="shared" si="20"/>
        <v>0</v>
      </c>
      <c r="V97" s="7">
        <f t="shared" si="20"/>
        <v>0</v>
      </c>
      <c r="W97" s="7">
        <f t="shared" si="20"/>
        <v>0</v>
      </c>
      <c r="X97" s="7">
        <f t="shared" si="20"/>
        <v>0</v>
      </c>
      <c r="Y97" s="7">
        <f t="shared" si="20"/>
        <v>0</v>
      </c>
      <c r="Z97" s="7">
        <f t="shared" si="20"/>
        <v>0</v>
      </c>
      <c r="AA97" s="7">
        <f t="shared" si="20"/>
        <v>0</v>
      </c>
      <c r="AB97" s="7">
        <f t="shared" si="20"/>
        <v>0</v>
      </c>
    </row>
    <row r="98" spans="1:28" x14ac:dyDescent="0.25">
      <c r="A98" s="4">
        <f>'Class Schedule Analysis'!A97</f>
        <v>95</v>
      </c>
      <c r="B98" s="4">
        <f>'Class Schedule Analysis'!C97</f>
        <v>6</v>
      </c>
      <c r="C98" s="23" t="str">
        <f>'Class Schedule Analysis'!J97</f>
        <v>WEST 106 (New)</v>
      </c>
      <c r="D98" s="4" t="str">
        <f>'Class Schedule Analysis'!M97</f>
        <v>Hybrid</v>
      </c>
      <c r="E98" s="28">
        <f>'Class Schedule Analysis'!P97</f>
        <v>46151</v>
      </c>
      <c r="F98" s="28">
        <f>'Class Schedule Analysis'!Q97</f>
        <v>46326</v>
      </c>
      <c r="G98" s="4">
        <f t="shared" si="19"/>
        <v>0</v>
      </c>
      <c r="H98" s="4">
        <f t="shared" si="19"/>
        <v>0</v>
      </c>
      <c r="I98" s="4">
        <f t="shared" si="19"/>
        <v>0</v>
      </c>
      <c r="J98" s="4">
        <f t="shared" si="19"/>
        <v>0</v>
      </c>
      <c r="K98" s="4">
        <f t="shared" si="19"/>
        <v>0</v>
      </c>
      <c r="L98" s="4">
        <f t="shared" si="19"/>
        <v>0</v>
      </c>
      <c r="M98" s="4">
        <f t="shared" si="19"/>
        <v>4</v>
      </c>
      <c r="N98" s="4">
        <f t="shared" si="19"/>
        <v>4</v>
      </c>
      <c r="O98" s="4">
        <f t="shared" si="19"/>
        <v>4</v>
      </c>
      <c r="P98" s="4">
        <f t="shared" si="19"/>
        <v>5</v>
      </c>
      <c r="Q98" s="4">
        <f t="shared" si="20"/>
        <v>4</v>
      </c>
      <c r="R98" s="4">
        <f t="shared" si="20"/>
        <v>5</v>
      </c>
      <c r="S98" s="4">
        <f t="shared" si="20"/>
        <v>0</v>
      </c>
      <c r="T98" s="4">
        <f t="shared" si="20"/>
        <v>0</v>
      </c>
      <c r="U98" s="4">
        <f t="shared" si="20"/>
        <v>0</v>
      </c>
      <c r="V98" s="4">
        <f t="shared" si="20"/>
        <v>0</v>
      </c>
      <c r="W98" s="4">
        <f t="shared" si="20"/>
        <v>0</v>
      </c>
      <c r="X98" s="4">
        <f t="shared" si="20"/>
        <v>0</v>
      </c>
      <c r="Y98" s="4">
        <f t="shared" si="20"/>
        <v>0</v>
      </c>
      <c r="Z98" s="4">
        <f t="shared" si="20"/>
        <v>0</v>
      </c>
      <c r="AA98" s="4">
        <f t="shared" si="20"/>
        <v>0</v>
      </c>
      <c r="AB98" s="4">
        <f t="shared" si="20"/>
        <v>0</v>
      </c>
    </row>
    <row r="99" spans="1:28" x14ac:dyDescent="0.25">
      <c r="A99" s="7">
        <f>'Class Schedule Analysis'!A98</f>
        <v>96</v>
      </c>
      <c r="B99" s="7">
        <f>'Class Schedule Analysis'!C98</f>
        <v>6</v>
      </c>
      <c r="C99" s="29" t="str">
        <f>'Class Schedule Analysis'!J98</f>
        <v>WEST 107 (New)</v>
      </c>
      <c r="D99" s="7" t="str">
        <f>'Class Schedule Analysis'!M98</f>
        <v>Physical</v>
      </c>
      <c r="E99" s="30">
        <f>'Class Schedule Analysis'!P98</f>
        <v>0</v>
      </c>
      <c r="F99" s="30">
        <f>'Class Schedule Analysis'!Q98</f>
        <v>0</v>
      </c>
      <c r="G99" s="7">
        <f t="shared" si="19"/>
        <v>0</v>
      </c>
      <c r="H99" s="7">
        <f t="shared" si="19"/>
        <v>0</v>
      </c>
      <c r="I99" s="7">
        <f t="shared" si="19"/>
        <v>0</v>
      </c>
      <c r="J99" s="7">
        <f t="shared" si="19"/>
        <v>0</v>
      </c>
      <c r="K99" s="7">
        <f t="shared" si="19"/>
        <v>0</v>
      </c>
      <c r="L99" s="7">
        <f t="shared" si="19"/>
        <v>0</v>
      </c>
      <c r="M99" s="7">
        <f t="shared" si="19"/>
        <v>0</v>
      </c>
      <c r="N99" s="7">
        <f t="shared" si="19"/>
        <v>0</v>
      </c>
      <c r="O99" s="7">
        <f t="shared" si="19"/>
        <v>0</v>
      </c>
      <c r="P99" s="7">
        <f t="shared" si="19"/>
        <v>0</v>
      </c>
      <c r="Q99" s="7">
        <f t="shared" si="20"/>
        <v>0</v>
      </c>
      <c r="R99" s="7">
        <f t="shared" si="20"/>
        <v>0</v>
      </c>
      <c r="S99" s="7">
        <f t="shared" si="20"/>
        <v>0</v>
      </c>
      <c r="T99" s="7">
        <f t="shared" si="20"/>
        <v>0</v>
      </c>
      <c r="U99" s="7">
        <f t="shared" si="20"/>
        <v>0</v>
      </c>
      <c r="V99" s="7">
        <f t="shared" si="20"/>
        <v>0</v>
      </c>
      <c r="W99" s="7">
        <f t="shared" si="20"/>
        <v>0</v>
      </c>
      <c r="X99" s="7">
        <f t="shared" si="20"/>
        <v>0</v>
      </c>
      <c r="Y99" s="7">
        <f t="shared" si="20"/>
        <v>0</v>
      </c>
      <c r="Z99" s="7">
        <f t="shared" si="20"/>
        <v>0</v>
      </c>
      <c r="AA99" s="7">
        <f t="shared" si="20"/>
        <v>0</v>
      </c>
      <c r="AB99" s="7">
        <f t="shared" si="20"/>
        <v>0</v>
      </c>
    </row>
    <row r="100" spans="1:28" x14ac:dyDescent="0.25">
      <c r="A100" s="4">
        <f>'Class Schedule Analysis'!A99</f>
        <v>97</v>
      </c>
      <c r="B100" s="4">
        <f>'Class Schedule Analysis'!C99</f>
        <v>6</v>
      </c>
      <c r="C100" s="23" t="str">
        <f>'Class Schedule Analysis'!J99</f>
        <v>WEST 108 (New)</v>
      </c>
      <c r="D100" s="4" t="str">
        <f>'Class Schedule Analysis'!M99</f>
        <v>Physical</v>
      </c>
      <c r="E100" s="28">
        <f>'Class Schedule Analysis'!P99</f>
        <v>0</v>
      </c>
      <c r="F100" s="28">
        <f>'Class Schedule Analysis'!Q99</f>
        <v>0</v>
      </c>
      <c r="G100" s="4">
        <f t="shared" si="19"/>
        <v>0</v>
      </c>
      <c r="H100" s="4">
        <f t="shared" si="19"/>
        <v>0</v>
      </c>
      <c r="I100" s="4">
        <f t="shared" si="19"/>
        <v>0</v>
      </c>
      <c r="J100" s="4">
        <f t="shared" si="19"/>
        <v>0</v>
      </c>
      <c r="K100" s="4">
        <f t="shared" si="19"/>
        <v>0</v>
      </c>
      <c r="L100" s="4">
        <f t="shared" si="19"/>
        <v>0</v>
      </c>
      <c r="M100" s="4">
        <f t="shared" si="19"/>
        <v>0</v>
      </c>
      <c r="N100" s="4">
        <f t="shared" si="19"/>
        <v>0</v>
      </c>
      <c r="O100" s="4">
        <f t="shared" si="19"/>
        <v>0</v>
      </c>
      <c r="P100" s="4">
        <f t="shared" si="19"/>
        <v>0</v>
      </c>
      <c r="Q100" s="4">
        <f t="shared" si="20"/>
        <v>0</v>
      </c>
      <c r="R100" s="4">
        <f t="shared" si="20"/>
        <v>0</v>
      </c>
      <c r="S100" s="4">
        <f t="shared" si="20"/>
        <v>0</v>
      </c>
      <c r="T100" s="4">
        <f t="shared" si="20"/>
        <v>0</v>
      </c>
      <c r="U100" s="4">
        <f t="shared" si="20"/>
        <v>0</v>
      </c>
      <c r="V100" s="4">
        <f t="shared" si="20"/>
        <v>0</v>
      </c>
      <c r="W100" s="4">
        <f t="shared" si="20"/>
        <v>0</v>
      </c>
      <c r="X100" s="4">
        <f t="shared" si="20"/>
        <v>0</v>
      </c>
      <c r="Y100" s="4">
        <f t="shared" si="20"/>
        <v>0</v>
      </c>
      <c r="Z100" s="4">
        <f t="shared" si="20"/>
        <v>0</v>
      </c>
      <c r="AA100" s="4">
        <f t="shared" si="20"/>
        <v>0</v>
      </c>
      <c r="AB100" s="4">
        <f t="shared" si="20"/>
        <v>0</v>
      </c>
    </row>
    <row r="101" spans="1:28" x14ac:dyDescent="0.25">
      <c r="A101" s="7">
        <f>'Class Schedule Analysis'!A100</f>
        <v>98</v>
      </c>
      <c r="B101" s="7">
        <f>'Class Schedule Analysis'!C100</f>
        <v>6</v>
      </c>
      <c r="C101" s="29" t="str">
        <f>'Class Schedule Analysis'!J100</f>
        <v>WEST 002</v>
      </c>
      <c r="D101" s="7" t="str">
        <f>'Class Schedule Analysis'!M100</f>
        <v>Physical</v>
      </c>
      <c r="E101" s="30">
        <f>'Class Schedule Analysis'!P100</f>
        <v>0</v>
      </c>
      <c r="F101" s="30">
        <f>'Class Schedule Analysis'!Q100</f>
        <v>0</v>
      </c>
      <c r="G101" s="7">
        <f t="shared" si="19"/>
        <v>0</v>
      </c>
      <c r="H101" s="7">
        <f t="shared" si="19"/>
        <v>0</v>
      </c>
      <c r="I101" s="7">
        <f t="shared" si="19"/>
        <v>0</v>
      </c>
      <c r="J101" s="7">
        <f t="shared" si="19"/>
        <v>0</v>
      </c>
      <c r="K101" s="7">
        <f t="shared" si="19"/>
        <v>0</v>
      </c>
      <c r="L101" s="7">
        <f t="shared" si="19"/>
        <v>0</v>
      </c>
      <c r="M101" s="7">
        <f t="shared" si="19"/>
        <v>0</v>
      </c>
      <c r="N101" s="7">
        <f t="shared" si="19"/>
        <v>0</v>
      </c>
      <c r="O101" s="7">
        <f t="shared" si="19"/>
        <v>0</v>
      </c>
      <c r="P101" s="7">
        <f t="shared" si="19"/>
        <v>0</v>
      </c>
      <c r="Q101" s="7">
        <f t="shared" si="20"/>
        <v>0</v>
      </c>
      <c r="R101" s="7">
        <f t="shared" si="20"/>
        <v>0</v>
      </c>
      <c r="S101" s="7">
        <f t="shared" si="20"/>
        <v>0</v>
      </c>
      <c r="T101" s="7">
        <f t="shared" si="20"/>
        <v>0</v>
      </c>
      <c r="U101" s="7">
        <f t="shared" si="20"/>
        <v>0</v>
      </c>
      <c r="V101" s="7">
        <f t="shared" si="20"/>
        <v>0</v>
      </c>
      <c r="W101" s="7">
        <f t="shared" si="20"/>
        <v>0</v>
      </c>
      <c r="X101" s="7">
        <f t="shared" si="20"/>
        <v>0</v>
      </c>
      <c r="Y101" s="7">
        <f t="shared" si="20"/>
        <v>0</v>
      </c>
      <c r="Z101" s="7">
        <f t="shared" si="20"/>
        <v>0</v>
      </c>
      <c r="AA101" s="7">
        <f t="shared" si="20"/>
        <v>0</v>
      </c>
      <c r="AB101" s="7">
        <f t="shared" si="20"/>
        <v>0</v>
      </c>
    </row>
    <row r="102" spans="1:28" x14ac:dyDescent="0.25">
      <c r="A102" s="4">
        <f>'Class Schedule Analysis'!A101</f>
        <v>99</v>
      </c>
      <c r="B102" s="4">
        <f>'Class Schedule Analysis'!C101</f>
        <v>6</v>
      </c>
      <c r="C102" s="23" t="str">
        <f>'Class Schedule Analysis'!J101</f>
        <v>WEST 003</v>
      </c>
      <c r="D102" s="4" t="str">
        <f>'Class Schedule Analysis'!M101</f>
        <v>Physical</v>
      </c>
      <c r="E102" s="28">
        <f>'Class Schedule Analysis'!P101</f>
        <v>46214</v>
      </c>
      <c r="F102" s="28">
        <f>'Class Schedule Analysis'!Q101</f>
        <v>46361</v>
      </c>
      <c r="G102" s="4">
        <f t="shared" si="19"/>
        <v>0</v>
      </c>
      <c r="H102" s="4">
        <f t="shared" si="19"/>
        <v>0</v>
      </c>
      <c r="I102" s="4">
        <f t="shared" si="19"/>
        <v>0</v>
      </c>
      <c r="J102" s="4">
        <f t="shared" si="19"/>
        <v>0</v>
      </c>
      <c r="K102" s="4">
        <f t="shared" si="19"/>
        <v>0</v>
      </c>
      <c r="L102" s="4">
        <f t="shared" si="19"/>
        <v>0</v>
      </c>
      <c r="M102" s="4">
        <f t="shared" si="19"/>
        <v>0</v>
      </c>
      <c r="N102" s="4">
        <f t="shared" si="19"/>
        <v>0</v>
      </c>
      <c r="O102" s="4">
        <f t="shared" si="19"/>
        <v>3</v>
      </c>
      <c r="P102" s="4">
        <f t="shared" si="19"/>
        <v>5</v>
      </c>
      <c r="Q102" s="4">
        <f t="shared" si="20"/>
        <v>4</v>
      </c>
      <c r="R102" s="4">
        <f t="shared" si="20"/>
        <v>5</v>
      </c>
      <c r="S102" s="4">
        <f t="shared" si="20"/>
        <v>4</v>
      </c>
      <c r="T102" s="4">
        <f t="shared" si="20"/>
        <v>1</v>
      </c>
      <c r="U102" s="4">
        <f t="shared" si="20"/>
        <v>0</v>
      </c>
      <c r="V102" s="4">
        <f t="shared" si="20"/>
        <v>0</v>
      </c>
      <c r="W102" s="4">
        <f t="shared" si="20"/>
        <v>0</v>
      </c>
      <c r="X102" s="4">
        <f t="shared" si="20"/>
        <v>0</v>
      </c>
      <c r="Y102" s="4">
        <f t="shared" si="20"/>
        <v>0</v>
      </c>
      <c r="Z102" s="4">
        <f t="shared" si="20"/>
        <v>0</v>
      </c>
      <c r="AA102" s="4">
        <f t="shared" si="20"/>
        <v>0</v>
      </c>
      <c r="AB102" s="4">
        <f t="shared" si="20"/>
        <v>0</v>
      </c>
    </row>
    <row r="103" spans="1:28" x14ac:dyDescent="0.25">
      <c r="A103" s="7">
        <f>'Class Schedule Analysis'!A102</f>
        <v>100</v>
      </c>
      <c r="B103" s="7">
        <f>'Class Schedule Analysis'!C102</f>
        <v>6</v>
      </c>
      <c r="C103" s="29" t="str">
        <f>'Class Schedule Analysis'!J102</f>
        <v>WEST 004</v>
      </c>
      <c r="D103" s="7" t="str">
        <f>'Class Schedule Analysis'!M102</f>
        <v>Physical</v>
      </c>
      <c r="E103" s="30">
        <f>'Class Schedule Analysis'!P102</f>
        <v>46193</v>
      </c>
      <c r="F103" s="30">
        <f>'Class Schedule Analysis'!Q102</f>
        <v>46376</v>
      </c>
      <c r="G103" s="7">
        <f t="shared" si="19"/>
        <v>0</v>
      </c>
      <c r="H103" s="7">
        <f t="shared" si="19"/>
        <v>0</v>
      </c>
      <c r="I103" s="7">
        <f t="shared" si="19"/>
        <v>0</v>
      </c>
      <c r="J103" s="7">
        <f t="shared" si="19"/>
        <v>0</v>
      </c>
      <c r="K103" s="7">
        <f t="shared" si="19"/>
        <v>0</v>
      </c>
      <c r="L103" s="7">
        <f t="shared" si="19"/>
        <v>0</v>
      </c>
      <c r="M103" s="7">
        <f t="shared" si="19"/>
        <v>0</v>
      </c>
      <c r="N103" s="7">
        <f t="shared" si="19"/>
        <v>2</v>
      </c>
      <c r="O103" s="7">
        <f t="shared" si="19"/>
        <v>4</v>
      </c>
      <c r="P103" s="7">
        <f t="shared" si="19"/>
        <v>5</v>
      </c>
      <c r="Q103" s="7">
        <f t="shared" si="20"/>
        <v>4</v>
      </c>
      <c r="R103" s="7">
        <f t="shared" si="20"/>
        <v>5</v>
      </c>
      <c r="S103" s="7">
        <f t="shared" si="20"/>
        <v>4</v>
      </c>
      <c r="T103" s="7">
        <f t="shared" si="20"/>
        <v>3</v>
      </c>
      <c r="U103" s="7">
        <f t="shared" si="20"/>
        <v>0</v>
      </c>
      <c r="V103" s="7">
        <f t="shared" si="20"/>
        <v>0</v>
      </c>
      <c r="W103" s="7">
        <f t="shared" si="20"/>
        <v>0</v>
      </c>
      <c r="X103" s="7">
        <f t="shared" si="20"/>
        <v>0</v>
      </c>
      <c r="Y103" s="7">
        <f t="shared" si="20"/>
        <v>0</v>
      </c>
      <c r="Z103" s="7">
        <f t="shared" si="20"/>
        <v>0</v>
      </c>
      <c r="AA103" s="7">
        <f t="shared" si="20"/>
        <v>0</v>
      </c>
      <c r="AB103" s="7">
        <f t="shared" si="20"/>
        <v>0</v>
      </c>
    </row>
    <row r="104" spans="1:28" x14ac:dyDescent="0.25">
      <c r="A104" s="4">
        <f>'Class Schedule Analysis'!A103</f>
        <v>101</v>
      </c>
      <c r="B104" s="4">
        <f>'Class Schedule Analysis'!C103</f>
        <v>6</v>
      </c>
      <c r="C104" s="23" t="str">
        <f>'Class Schedule Analysis'!J103</f>
        <v>WEST 005</v>
      </c>
      <c r="D104" s="4" t="str">
        <f>'Class Schedule Analysis'!M103</f>
        <v>Physical</v>
      </c>
      <c r="E104" s="28">
        <f>'Class Schedule Analysis'!P103</f>
        <v>46214</v>
      </c>
      <c r="F104" s="28">
        <f>'Class Schedule Analysis'!Q103</f>
        <v>46361</v>
      </c>
      <c r="G104" s="4">
        <f t="shared" ref="G104:P113" si="21">IF(OR($E104="",$F104=""),0,IF(MAX($E104,G$2)&gt;MIN($F104,G$3),0,INT((MIN($F104,G$3)-(MAX($E104,G$2)+MOD($B104-WEEKDAY(MAX($E104,G$2),2),7)))/7)+1))</f>
        <v>0</v>
      </c>
      <c r="H104" s="4">
        <f t="shared" si="21"/>
        <v>0</v>
      </c>
      <c r="I104" s="4">
        <f t="shared" si="21"/>
        <v>0</v>
      </c>
      <c r="J104" s="4">
        <f t="shared" si="21"/>
        <v>0</v>
      </c>
      <c r="K104" s="4">
        <f t="shared" si="21"/>
        <v>0</v>
      </c>
      <c r="L104" s="4">
        <f t="shared" si="21"/>
        <v>0</v>
      </c>
      <c r="M104" s="4">
        <f t="shared" si="21"/>
        <v>0</v>
      </c>
      <c r="N104" s="4">
        <f t="shared" si="21"/>
        <v>0</v>
      </c>
      <c r="O104" s="4">
        <f t="shared" si="21"/>
        <v>3</v>
      </c>
      <c r="P104" s="4">
        <f t="shared" si="21"/>
        <v>5</v>
      </c>
      <c r="Q104" s="4">
        <f t="shared" ref="Q104:AB113" si="22">IF(OR($E104="",$F104=""),0,IF(MAX($E104,Q$2)&gt;MIN($F104,Q$3),0,INT((MIN($F104,Q$3)-(MAX($E104,Q$2)+MOD($B104-WEEKDAY(MAX($E104,Q$2),2),7)))/7)+1))</f>
        <v>4</v>
      </c>
      <c r="R104" s="4">
        <f t="shared" si="22"/>
        <v>5</v>
      </c>
      <c r="S104" s="4">
        <f t="shared" si="22"/>
        <v>4</v>
      </c>
      <c r="T104" s="4">
        <f t="shared" si="22"/>
        <v>1</v>
      </c>
      <c r="U104" s="4">
        <f t="shared" si="22"/>
        <v>0</v>
      </c>
      <c r="V104" s="4">
        <f t="shared" si="22"/>
        <v>0</v>
      </c>
      <c r="W104" s="4">
        <f t="shared" si="22"/>
        <v>0</v>
      </c>
      <c r="X104" s="4">
        <f t="shared" si="22"/>
        <v>0</v>
      </c>
      <c r="Y104" s="4">
        <f t="shared" si="22"/>
        <v>0</v>
      </c>
      <c r="Z104" s="4">
        <f t="shared" si="22"/>
        <v>0</v>
      </c>
      <c r="AA104" s="4">
        <f t="shared" si="22"/>
        <v>0</v>
      </c>
      <c r="AB104" s="4">
        <f t="shared" si="22"/>
        <v>0</v>
      </c>
    </row>
    <row r="105" spans="1:28" x14ac:dyDescent="0.25">
      <c r="A105" s="7">
        <f>'Class Schedule Analysis'!A104</f>
        <v>102</v>
      </c>
      <c r="B105" s="7">
        <f>'Class Schedule Analysis'!C104</f>
        <v>6</v>
      </c>
      <c r="C105" s="29" t="str">
        <f>'Class Schedule Analysis'!J104</f>
        <v>TECH 001</v>
      </c>
      <c r="D105" s="7" t="str">
        <f>'Class Schedule Analysis'!M104</f>
        <v>Physical</v>
      </c>
      <c r="E105" s="30">
        <f>'Class Schedule Analysis'!P104</f>
        <v>45964</v>
      </c>
      <c r="F105" s="30">
        <f>'Class Schedule Analysis'!Q104</f>
        <v>46329</v>
      </c>
      <c r="G105" s="7">
        <f t="shared" si="21"/>
        <v>4</v>
      </c>
      <c r="H105" s="7">
        <f t="shared" si="21"/>
        <v>4</v>
      </c>
      <c r="I105" s="7">
        <f t="shared" si="21"/>
        <v>5</v>
      </c>
      <c r="J105" s="7">
        <f t="shared" si="21"/>
        <v>4</v>
      </c>
      <c r="K105" s="7">
        <f t="shared" si="21"/>
        <v>4</v>
      </c>
      <c r="L105" s="7">
        <f t="shared" si="21"/>
        <v>4</v>
      </c>
      <c r="M105" s="7">
        <f t="shared" si="21"/>
        <v>5</v>
      </c>
      <c r="N105" s="7">
        <f t="shared" si="21"/>
        <v>4</v>
      </c>
      <c r="O105" s="7">
        <f t="shared" si="21"/>
        <v>4</v>
      </c>
      <c r="P105" s="7">
        <f t="shared" si="21"/>
        <v>5</v>
      </c>
      <c r="Q105" s="7">
        <f t="shared" si="22"/>
        <v>4</v>
      </c>
      <c r="R105" s="7">
        <f t="shared" si="22"/>
        <v>5</v>
      </c>
      <c r="S105" s="7">
        <f t="shared" si="22"/>
        <v>0</v>
      </c>
      <c r="T105" s="7">
        <f t="shared" si="22"/>
        <v>0</v>
      </c>
      <c r="U105" s="7">
        <f t="shared" si="22"/>
        <v>0</v>
      </c>
      <c r="V105" s="7">
        <f t="shared" si="22"/>
        <v>0</v>
      </c>
      <c r="W105" s="7">
        <f t="shared" si="22"/>
        <v>0</v>
      </c>
      <c r="X105" s="7">
        <f t="shared" si="22"/>
        <v>0</v>
      </c>
      <c r="Y105" s="7">
        <f t="shared" si="22"/>
        <v>0</v>
      </c>
      <c r="Z105" s="7">
        <f t="shared" si="22"/>
        <v>0</v>
      </c>
      <c r="AA105" s="7">
        <f t="shared" si="22"/>
        <v>0</v>
      </c>
      <c r="AB105" s="7">
        <f t="shared" si="22"/>
        <v>0</v>
      </c>
    </row>
    <row r="106" spans="1:28" x14ac:dyDescent="0.25">
      <c r="A106" s="4">
        <f>'Class Schedule Analysis'!A105</f>
        <v>103</v>
      </c>
      <c r="B106" s="4">
        <f>'Class Schedule Analysis'!C105</f>
        <v>6</v>
      </c>
      <c r="C106" s="23" t="str">
        <f>'Class Schedule Analysis'!J105</f>
        <v>TECH 002</v>
      </c>
      <c r="D106" s="4" t="str">
        <f>'Class Schedule Analysis'!M105</f>
        <v>Online</v>
      </c>
      <c r="E106" s="28">
        <f>'Class Schedule Analysis'!P105</f>
        <v>46214</v>
      </c>
      <c r="F106" s="28">
        <f>'Class Schedule Analysis'!Q105</f>
        <v>46326</v>
      </c>
      <c r="G106" s="4">
        <f t="shared" si="21"/>
        <v>0</v>
      </c>
      <c r="H106" s="4">
        <f t="shared" si="21"/>
        <v>0</v>
      </c>
      <c r="I106" s="4">
        <f t="shared" si="21"/>
        <v>0</v>
      </c>
      <c r="J106" s="4">
        <f t="shared" si="21"/>
        <v>0</v>
      </c>
      <c r="K106" s="4">
        <f t="shared" si="21"/>
        <v>0</v>
      </c>
      <c r="L106" s="4">
        <f t="shared" si="21"/>
        <v>0</v>
      </c>
      <c r="M106" s="4">
        <f t="shared" si="21"/>
        <v>0</v>
      </c>
      <c r="N106" s="4">
        <f t="shared" si="21"/>
        <v>0</v>
      </c>
      <c r="O106" s="4">
        <f t="shared" si="21"/>
        <v>3</v>
      </c>
      <c r="P106" s="4">
        <f t="shared" si="21"/>
        <v>5</v>
      </c>
      <c r="Q106" s="4">
        <f t="shared" si="22"/>
        <v>4</v>
      </c>
      <c r="R106" s="4">
        <f t="shared" si="22"/>
        <v>5</v>
      </c>
      <c r="S106" s="4">
        <f t="shared" si="22"/>
        <v>0</v>
      </c>
      <c r="T106" s="4">
        <f t="shared" si="22"/>
        <v>0</v>
      </c>
      <c r="U106" s="4">
        <f t="shared" si="22"/>
        <v>0</v>
      </c>
      <c r="V106" s="4">
        <f t="shared" si="22"/>
        <v>0</v>
      </c>
      <c r="W106" s="4">
        <f t="shared" si="22"/>
        <v>0</v>
      </c>
      <c r="X106" s="4">
        <f t="shared" si="22"/>
        <v>0</v>
      </c>
      <c r="Y106" s="4">
        <f t="shared" si="22"/>
        <v>0</v>
      </c>
      <c r="Z106" s="4">
        <f t="shared" si="22"/>
        <v>0</v>
      </c>
      <c r="AA106" s="4">
        <f t="shared" si="22"/>
        <v>0</v>
      </c>
      <c r="AB106" s="4">
        <f t="shared" si="22"/>
        <v>0</v>
      </c>
    </row>
    <row r="107" spans="1:28" x14ac:dyDescent="0.25">
      <c r="A107" s="7">
        <f>'Class Schedule Analysis'!A106</f>
        <v>104</v>
      </c>
      <c r="B107" s="7">
        <f>'Class Schedule Analysis'!C106</f>
        <v>6</v>
      </c>
      <c r="C107" s="29" t="str">
        <f>'Class Schedule Analysis'!J106</f>
        <v>TECH 003</v>
      </c>
      <c r="D107" s="7" t="str">
        <f>'Class Schedule Analysis'!M106</f>
        <v>Hybrid</v>
      </c>
      <c r="E107" s="30">
        <f>'Class Schedule Analysis'!P106</f>
        <v>46179</v>
      </c>
      <c r="F107" s="30">
        <f>'Class Schedule Analysis'!Q106</f>
        <v>46278</v>
      </c>
      <c r="G107" s="7">
        <f t="shared" si="21"/>
        <v>0</v>
      </c>
      <c r="H107" s="7">
        <f t="shared" si="21"/>
        <v>0</v>
      </c>
      <c r="I107" s="7">
        <f t="shared" si="21"/>
        <v>0</v>
      </c>
      <c r="J107" s="7">
        <f t="shared" si="21"/>
        <v>0</v>
      </c>
      <c r="K107" s="7">
        <f t="shared" si="21"/>
        <v>0</v>
      </c>
      <c r="L107" s="7">
        <f t="shared" si="21"/>
        <v>0</v>
      </c>
      <c r="M107" s="7">
        <f t="shared" si="21"/>
        <v>0</v>
      </c>
      <c r="N107" s="7">
        <f t="shared" si="21"/>
        <v>4</v>
      </c>
      <c r="O107" s="7">
        <f t="shared" si="21"/>
        <v>4</v>
      </c>
      <c r="P107" s="7">
        <f t="shared" si="21"/>
        <v>5</v>
      </c>
      <c r="Q107" s="7">
        <f t="shared" si="22"/>
        <v>2</v>
      </c>
      <c r="R107" s="7">
        <f t="shared" si="22"/>
        <v>0</v>
      </c>
      <c r="S107" s="7">
        <f t="shared" si="22"/>
        <v>0</v>
      </c>
      <c r="T107" s="7">
        <f t="shared" si="22"/>
        <v>0</v>
      </c>
      <c r="U107" s="7">
        <f t="shared" si="22"/>
        <v>0</v>
      </c>
      <c r="V107" s="7">
        <f t="shared" si="22"/>
        <v>0</v>
      </c>
      <c r="W107" s="7">
        <f t="shared" si="22"/>
        <v>0</v>
      </c>
      <c r="X107" s="7">
        <f t="shared" si="22"/>
        <v>0</v>
      </c>
      <c r="Y107" s="7">
        <f t="shared" si="22"/>
        <v>0</v>
      </c>
      <c r="Z107" s="7">
        <f t="shared" si="22"/>
        <v>0</v>
      </c>
      <c r="AA107" s="7">
        <f t="shared" si="22"/>
        <v>0</v>
      </c>
      <c r="AB107" s="7">
        <f t="shared" si="22"/>
        <v>0</v>
      </c>
    </row>
    <row r="108" spans="1:28" x14ac:dyDescent="0.25">
      <c r="A108" s="4">
        <f>'Class Schedule Analysis'!A107</f>
        <v>105</v>
      </c>
      <c r="B108" s="4">
        <f>'Class Schedule Analysis'!C107</f>
        <v>6</v>
      </c>
      <c r="C108" s="23" t="str">
        <f>'Class Schedule Analysis'!J107</f>
        <v>TECH 003</v>
      </c>
      <c r="D108" s="4" t="str">
        <f>'Class Schedule Analysis'!M107</f>
        <v>Physical</v>
      </c>
      <c r="E108" s="28">
        <f>'Class Schedule Analysis'!P107</f>
        <v>46193</v>
      </c>
      <c r="F108" s="28">
        <f>'Class Schedule Analysis'!Q107</f>
        <v>46376</v>
      </c>
      <c r="G108" s="4">
        <f t="shared" si="21"/>
        <v>0</v>
      </c>
      <c r="H108" s="4">
        <f t="shared" si="21"/>
        <v>0</v>
      </c>
      <c r="I108" s="4">
        <f t="shared" si="21"/>
        <v>0</v>
      </c>
      <c r="J108" s="4">
        <f t="shared" si="21"/>
        <v>0</v>
      </c>
      <c r="K108" s="4">
        <f t="shared" si="21"/>
        <v>0</v>
      </c>
      <c r="L108" s="4">
        <f t="shared" si="21"/>
        <v>0</v>
      </c>
      <c r="M108" s="4">
        <f t="shared" si="21"/>
        <v>0</v>
      </c>
      <c r="N108" s="4">
        <f t="shared" si="21"/>
        <v>2</v>
      </c>
      <c r="O108" s="4">
        <f t="shared" si="21"/>
        <v>4</v>
      </c>
      <c r="P108" s="4">
        <f t="shared" si="21"/>
        <v>5</v>
      </c>
      <c r="Q108" s="4">
        <f t="shared" si="22"/>
        <v>4</v>
      </c>
      <c r="R108" s="4">
        <f t="shared" si="22"/>
        <v>5</v>
      </c>
      <c r="S108" s="4">
        <f t="shared" si="22"/>
        <v>4</v>
      </c>
      <c r="T108" s="4">
        <f t="shared" si="22"/>
        <v>3</v>
      </c>
      <c r="U108" s="4">
        <f t="shared" si="22"/>
        <v>0</v>
      </c>
      <c r="V108" s="4">
        <f t="shared" si="22"/>
        <v>0</v>
      </c>
      <c r="W108" s="4">
        <f t="shared" si="22"/>
        <v>0</v>
      </c>
      <c r="X108" s="4">
        <f t="shared" si="22"/>
        <v>0</v>
      </c>
      <c r="Y108" s="4">
        <f t="shared" si="22"/>
        <v>0</v>
      </c>
      <c r="Z108" s="4">
        <f t="shared" si="22"/>
        <v>0</v>
      </c>
      <c r="AA108" s="4">
        <f t="shared" si="22"/>
        <v>0</v>
      </c>
      <c r="AB108" s="4">
        <f t="shared" si="22"/>
        <v>0</v>
      </c>
    </row>
    <row r="109" spans="1:28" x14ac:dyDescent="0.25">
      <c r="A109" s="7">
        <f>'Class Schedule Analysis'!A108</f>
        <v>106</v>
      </c>
      <c r="B109" s="7">
        <f>'Class Schedule Analysis'!C108</f>
        <v>6</v>
      </c>
      <c r="C109" s="29" t="str">
        <f>'Class Schedule Analysis'!J108</f>
        <v>TECH 004</v>
      </c>
      <c r="D109" s="7" t="str">
        <f>'Class Schedule Analysis'!M108</f>
        <v>Physical</v>
      </c>
      <c r="E109" s="30">
        <f>'Class Schedule Analysis'!P108</f>
        <v>46214</v>
      </c>
      <c r="F109" s="30">
        <f>'Class Schedule Analysis'!Q108</f>
        <v>46375</v>
      </c>
      <c r="G109" s="7">
        <f t="shared" si="21"/>
        <v>0</v>
      </c>
      <c r="H109" s="7">
        <f t="shared" si="21"/>
        <v>0</v>
      </c>
      <c r="I109" s="7">
        <f t="shared" si="21"/>
        <v>0</v>
      </c>
      <c r="J109" s="7">
        <f t="shared" si="21"/>
        <v>0</v>
      </c>
      <c r="K109" s="7">
        <f t="shared" si="21"/>
        <v>0</v>
      </c>
      <c r="L109" s="7">
        <f t="shared" si="21"/>
        <v>0</v>
      </c>
      <c r="M109" s="7">
        <f t="shared" si="21"/>
        <v>0</v>
      </c>
      <c r="N109" s="7">
        <f t="shared" si="21"/>
        <v>0</v>
      </c>
      <c r="O109" s="7">
        <f t="shared" si="21"/>
        <v>3</v>
      </c>
      <c r="P109" s="7">
        <f t="shared" si="21"/>
        <v>5</v>
      </c>
      <c r="Q109" s="7">
        <f t="shared" si="22"/>
        <v>4</v>
      </c>
      <c r="R109" s="7">
        <f t="shared" si="22"/>
        <v>5</v>
      </c>
      <c r="S109" s="7">
        <f t="shared" si="22"/>
        <v>4</v>
      </c>
      <c r="T109" s="7">
        <f t="shared" si="22"/>
        <v>3</v>
      </c>
      <c r="U109" s="7">
        <f t="shared" si="22"/>
        <v>0</v>
      </c>
      <c r="V109" s="7">
        <f t="shared" si="22"/>
        <v>0</v>
      </c>
      <c r="W109" s="7">
        <f t="shared" si="22"/>
        <v>0</v>
      </c>
      <c r="X109" s="7">
        <f t="shared" si="22"/>
        <v>0</v>
      </c>
      <c r="Y109" s="7">
        <f t="shared" si="22"/>
        <v>0</v>
      </c>
      <c r="Z109" s="7">
        <f t="shared" si="22"/>
        <v>0</v>
      </c>
      <c r="AA109" s="7">
        <f t="shared" si="22"/>
        <v>0</v>
      </c>
      <c r="AB109" s="7">
        <f t="shared" si="22"/>
        <v>0</v>
      </c>
    </row>
    <row r="110" spans="1:28" x14ac:dyDescent="0.25">
      <c r="A110" s="4">
        <f>'Class Schedule Analysis'!A109</f>
        <v>107</v>
      </c>
      <c r="B110" s="4">
        <f>'Class Schedule Analysis'!C109</f>
        <v>6</v>
      </c>
      <c r="C110" s="23" t="str">
        <f>'Class Schedule Analysis'!J109</f>
        <v>EAST 304</v>
      </c>
      <c r="D110" s="4" t="str">
        <f>'Class Schedule Analysis'!M109</f>
        <v>Physical</v>
      </c>
      <c r="E110" s="28">
        <f>'Class Schedule Analysis'!P109</f>
        <v>46214</v>
      </c>
      <c r="F110" s="28">
        <f>'Class Schedule Analysis'!Q109</f>
        <v>46361</v>
      </c>
      <c r="G110" s="4">
        <f t="shared" si="21"/>
        <v>0</v>
      </c>
      <c r="H110" s="4">
        <f t="shared" si="21"/>
        <v>0</v>
      </c>
      <c r="I110" s="4">
        <f t="shared" si="21"/>
        <v>0</v>
      </c>
      <c r="J110" s="4">
        <f t="shared" si="21"/>
        <v>0</v>
      </c>
      <c r="K110" s="4">
        <f t="shared" si="21"/>
        <v>0</v>
      </c>
      <c r="L110" s="4">
        <f t="shared" si="21"/>
        <v>0</v>
      </c>
      <c r="M110" s="4">
        <f t="shared" si="21"/>
        <v>0</v>
      </c>
      <c r="N110" s="4">
        <f t="shared" si="21"/>
        <v>0</v>
      </c>
      <c r="O110" s="4">
        <f t="shared" si="21"/>
        <v>3</v>
      </c>
      <c r="P110" s="4">
        <f t="shared" si="21"/>
        <v>5</v>
      </c>
      <c r="Q110" s="4">
        <f t="shared" si="22"/>
        <v>4</v>
      </c>
      <c r="R110" s="4">
        <f t="shared" si="22"/>
        <v>5</v>
      </c>
      <c r="S110" s="4">
        <f t="shared" si="22"/>
        <v>4</v>
      </c>
      <c r="T110" s="4">
        <f t="shared" si="22"/>
        <v>1</v>
      </c>
      <c r="U110" s="4">
        <f t="shared" si="22"/>
        <v>0</v>
      </c>
      <c r="V110" s="4">
        <f t="shared" si="22"/>
        <v>0</v>
      </c>
      <c r="W110" s="4">
        <f t="shared" si="22"/>
        <v>0</v>
      </c>
      <c r="X110" s="4">
        <f t="shared" si="22"/>
        <v>0</v>
      </c>
      <c r="Y110" s="4">
        <f t="shared" si="22"/>
        <v>0</v>
      </c>
      <c r="Z110" s="4">
        <f t="shared" si="22"/>
        <v>0</v>
      </c>
      <c r="AA110" s="4">
        <f t="shared" si="22"/>
        <v>0</v>
      </c>
      <c r="AB110" s="4">
        <f t="shared" si="22"/>
        <v>0</v>
      </c>
    </row>
    <row r="111" spans="1:28" x14ac:dyDescent="0.25">
      <c r="A111" s="7">
        <f>'Class Schedule Analysis'!A110</f>
        <v>108</v>
      </c>
      <c r="B111" s="7">
        <f>'Class Schedule Analysis'!C110</f>
        <v>6</v>
      </c>
      <c r="C111" s="29" t="str">
        <f>'Class Schedule Analysis'!J110</f>
        <v>EAST 305</v>
      </c>
      <c r="D111" s="7" t="str">
        <f>'Class Schedule Analysis'!M110</f>
        <v>Hybrid</v>
      </c>
      <c r="E111" s="30">
        <f>'Class Schedule Analysis'!P110</f>
        <v>0</v>
      </c>
      <c r="F111" s="30">
        <f>'Class Schedule Analysis'!Q110</f>
        <v>0</v>
      </c>
      <c r="G111" s="7">
        <f t="shared" si="21"/>
        <v>0</v>
      </c>
      <c r="H111" s="7">
        <f t="shared" si="21"/>
        <v>0</v>
      </c>
      <c r="I111" s="7">
        <f t="shared" si="21"/>
        <v>0</v>
      </c>
      <c r="J111" s="7">
        <f t="shared" si="21"/>
        <v>0</v>
      </c>
      <c r="K111" s="7">
        <f t="shared" si="21"/>
        <v>0</v>
      </c>
      <c r="L111" s="7">
        <f t="shared" si="21"/>
        <v>0</v>
      </c>
      <c r="M111" s="7">
        <f t="shared" si="21"/>
        <v>0</v>
      </c>
      <c r="N111" s="7">
        <f t="shared" si="21"/>
        <v>0</v>
      </c>
      <c r="O111" s="7">
        <f t="shared" si="21"/>
        <v>0</v>
      </c>
      <c r="P111" s="7">
        <f t="shared" si="21"/>
        <v>0</v>
      </c>
      <c r="Q111" s="7">
        <f t="shared" si="22"/>
        <v>0</v>
      </c>
      <c r="R111" s="7">
        <f t="shared" si="22"/>
        <v>0</v>
      </c>
      <c r="S111" s="7">
        <f t="shared" si="22"/>
        <v>0</v>
      </c>
      <c r="T111" s="7">
        <f t="shared" si="22"/>
        <v>0</v>
      </c>
      <c r="U111" s="7">
        <f t="shared" si="22"/>
        <v>0</v>
      </c>
      <c r="V111" s="7">
        <f t="shared" si="22"/>
        <v>0</v>
      </c>
      <c r="W111" s="7">
        <f t="shared" si="22"/>
        <v>0</v>
      </c>
      <c r="X111" s="7">
        <f t="shared" si="22"/>
        <v>0</v>
      </c>
      <c r="Y111" s="7">
        <f t="shared" si="22"/>
        <v>0</v>
      </c>
      <c r="Z111" s="7">
        <f t="shared" si="22"/>
        <v>0</v>
      </c>
      <c r="AA111" s="7">
        <f t="shared" si="22"/>
        <v>0</v>
      </c>
      <c r="AB111" s="7">
        <f t="shared" si="22"/>
        <v>0</v>
      </c>
    </row>
    <row r="112" spans="1:28" x14ac:dyDescent="0.25">
      <c r="A112" s="4">
        <f>'Class Schedule Analysis'!A111</f>
        <v>109</v>
      </c>
      <c r="B112" s="4">
        <f>'Class Schedule Analysis'!C111</f>
        <v>6</v>
      </c>
      <c r="C112" s="23" t="str">
        <f>'Class Schedule Analysis'!J111</f>
        <v>EAST 306</v>
      </c>
      <c r="D112" s="4" t="str">
        <f>'Class Schedule Analysis'!M111</f>
        <v>Physical</v>
      </c>
      <c r="E112" s="28">
        <f>'Class Schedule Analysis'!P111</f>
        <v>46214</v>
      </c>
      <c r="F112" s="28">
        <f>'Class Schedule Analysis'!Q111</f>
        <v>46361</v>
      </c>
      <c r="G112" s="4">
        <f t="shared" si="21"/>
        <v>0</v>
      </c>
      <c r="H112" s="4">
        <f t="shared" si="21"/>
        <v>0</v>
      </c>
      <c r="I112" s="4">
        <f t="shared" si="21"/>
        <v>0</v>
      </c>
      <c r="J112" s="4">
        <f t="shared" si="21"/>
        <v>0</v>
      </c>
      <c r="K112" s="4">
        <f t="shared" si="21"/>
        <v>0</v>
      </c>
      <c r="L112" s="4">
        <f t="shared" si="21"/>
        <v>0</v>
      </c>
      <c r="M112" s="4">
        <f t="shared" si="21"/>
        <v>0</v>
      </c>
      <c r="N112" s="4">
        <f t="shared" si="21"/>
        <v>0</v>
      </c>
      <c r="O112" s="4">
        <f t="shared" si="21"/>
        <v>3</v>
      </c>
      <c r="P112" s="4">
        <f t="shared" si="21"/>
        <v>5</v>
      </c>
      <c r="Q112" s="4">
        <f t="shared" si="22"/>
        <v>4</v>
      </c>
      <c r="R112" s="4">
        <f t="shared" si="22"/>
        <v>5</v>
      </c>
      <c r="S112" s="4">
        <f t="shared" si="22"/>
        <v>4</v>
      </c>
      <c r="T112" s="4">
        <f t="shared" si="22"/>
        <v>1</v>
      </c>
      <c r="U112" s="4">
        <f t="shared" si="22"/>
        <v>0</v>
      </c>
      <c r="V112" s="4">
        <f t="shared" si="22"/>
        <v>0</v>
      </c>
      <c r="W112" s="4">
        <f t="shared" si="22"/>
        <v>0</v>
      </c>
      <c r="X112" s="4">
        <f t="shared" si="22"/>
        <v>0</v>
      </c>
      <c r="Y112" s="4">
        <f t="shared" si="22"/>
        <v>0</v>
      </c>
      <c r="Z112" s="4">
        <f t="shared" si="22"/>
        <v>0</v>
      </c>
      <c r="AA112" s="4">
        <f t="shared" si="22"/>
        <v>0</v>
      </c>
      <c r="AB112" s="4">
        <f t="shared" si="22"/>
        <v>0</v>
      </c>
    </row>
    <row r="113" spans="1:28" x14ac:dyDescent="0.25">
      <c r="A113" s="7">
        <f>'Class Schedule Analysis'!A112</f>
        <v>110</v>
      </c>
      <c r="B113" s="7">
        <f>'Class Schedule Analysis'!C112</f>
        <v>6</v>
      </c>
      <c r="C113" s="29" t="str">
        <f>'Class Schedule Analysis'!J112</f>
        <v>EAST 307</v>
      </c>
      <c r="D113" s="7" t="str">
        <f>'Class Schedule Analysis'!M112</f>
        <v>Hybrid</v>
      </c>
      <c r="E113" s="30">
        <f>'Class Schedule Analysis'!P112</f>
        <v>46214</v>
      </c>
      <c r="F113" s="30">
        <f>'Class Schedule Analysis'!Q112</f>
        <v>46361</v>
      </c>
      <c r="G113" s="7">
        <f t="shared" si="21"/>
        <v>0</v>
      </c>
      <c r="H113" s="7">
        <f t="shared" si="21"/>
        <v>0</v>
      </c>
      <c r="I113" s="7">
        <f t="shared" si="21"/>
        <v>0</v>
      </c>
      <c r="J113" s="7">
        <f t="shared" si="21"/>
        <v>0</v>
      </c>
      <c r="K113" s="7">
        <f t="shared" si="21"/>
        <v>0</v>
      </c>
      <c r="L113" s="7">
        <f t="shared" si="21"/>
        <v>0</v>
      </c>
      <c r="M113" s="7">
        <f t="shared" si="21"/>
        <v>0</v>
      </c>
      <c r="N113" s="7">
        <f t="shared" si="21"/>
        <v>0</v>
      </c>
      <c r="O113" s="7">
        <f t="shared" si="21"/>
        <v>3</v>
      </c>
      <c r="P113" s="7">
        <f t="shared" si="21"/>
        <v>5</v>
      </c>
      <c r="Q113" s="7">
        <f t="shared" si="22"/>
        <v>4</v>
      </c>
      <c r="R113" s="7">
        <f t="shared" si="22"/>
        <v>5</v>
      </c>
      <c r="S113" s="7">
        <f t="shared" si="22"/>
        <v>4</v>
      </c>
      <c r="T113" s="7">
        <f t="shared" si="22"/>
        <v>1</v>
      </c>
      <c r="U113" s="7">
        <f t="shared" si="22"/>
        <v>0</v>
      </c>
      <c r="V113" s="7">
        <f t="shared" si="22"/>
        <v>0</v>
      </c>
      <c r="W113" s="7">
        <f t="shared" si="22"/>
        <v>0</v>
      </c>
      <c r="X113" s="7">
        <f t="shared" si="22"/>
        <v>0</v>
      </c>
      <c r="Y113" s="7">
        <f t="shared" si="22"/>
        <v>0</v>
      </c>
      <c r="Z113" s="7">
        <f t="shared" si="22"/>
        <v>0</v>
      </c>
      <c r="AA113" s="7">
        <f t="shared" si="22"/>
        <v>0</v>
      </c>
      <c r="AB113" s="7">
        <f t="shared" si="22"/>
        <v>0</v>
      </c>
    </row>
    <row r="114" spans="1:28" x14ac:dyDescent="0.25">
      <c r="A114" s="4">
        <f>'Class Schedule Analysis'!A113</f>
        <v>111</v>
      </c>
      <c r="B114" s="4">
        <f>'Class Schedule Analysis'!C113</f>
        <v>6</v>
      </c>
      <c r="C114" s="23" t="str">
        <f>'Class Schedule Analysis'!J113</f>
        <v>MINI BOARD ROOM</v>
      </c>
      <c r="D114" s="4" t="str">
        <f>'Class Schedule Analysis'!M113</f>
        <v>Online</v>
      </c>
      <c r="E114" s="28">
        <f>'Class Schedule Analysis'!P113</f>
        <v>46109</v>
      </c>
      <c r="F114" s="28">
        <f>'Class Schedule Analysis'!Q113</f>
        <v>46369</v>
      </c>
      <c r="G114" s="4">
        <f t="shared" ref="G114:P123" si="23">IF(OR($E114="",$F114=""),0,IF(MAX($E114,G$2)&gt;MIN($F114,G$3),0,INT((MIN($F114,G$3)-(MAX($E114,G$2)+MOD($B114-WEEKDAY(MAX($E114,G$2),2),7)))/7)+1))</f>
        <v>0</v>
      </c>
      <c r="H114" s="4">
        <f t="shared" si="23"/>
        <v>0</v>
      </c>
      <c r="I114" s="4">
        <f t="shared" si="23"/>
        <v>0</v>
      </c>
      <c r="J114" s="4">
        <f t="shared" si="23"/>
        <v>0</v>
      </c>
      <c r="K114" s="4">
        <f t="shared" si="23"/>
        <v>1</v>
      </c>
      <c r="L114" s="4">
        <f t="shared" si="23"/>
        <v>4</v>
      </c>
      <c r="M114" s="4">
        <f t="shared" si="23"/>
        <v>5</v>
      </c>
      <c r="N114" s="4">
        <f t="shared" si="23"/>
        <v>4</v>
      </c>
      <c r="O114" s="4">
        <f t="shared" si="23"/>
        <v>4</v>
      </c>
      <c r="P114" s="4">
        <f t="shared" si="23"/>
        <v>5</v>
      </c>
      <c r="Q114" s="4">
        <f t="shared" ref="Q114:AB123" si="24">IF(OR($E114="",$F114=""),0,IF(MAX($E114,Q$2)&gt;MIN($F114,Q$3),0,INT((MIN($F114,Q$3)-(MAX($E114,Q$2)+MOD($B114-WEEKDAY(MAX($E114,Q$2),2),7)))/7)+1))</f>
        <v>4</v>
      </c>
      <c r="R114" s="4">
        <f t="shared" si="24"/>
        <v>5</v>
      </c>
      <c r="S114" s="4">
        <f t="shared" si="24"/>
        <v>4</v>
      </c>
      <c r="T114" s="4">
        <f t="shared" si="24"/>
        <v>2</v>
      </c>
      <c r="U114" s="4">
        <f t="shared" si="24"/>
        <v>0</v>
      </c>
      <c r="V114" s="4">
        <f t="shared" si="24"/>
        <v>0</v>
      </c>
      <c r="W114" s="4">
        <f t="shared" si="24"/>
        <v>0</v>
      </c>
      <c r="X114" s="4">
        <f t="shared" si="24"/>
        <v>0</v>
      </c>
      <c r="Y114" s="4">
        <f t="shared" si="24"/>
        <v>0</v>
      </c>
      <c r="Z114" s="4">
        <f t="shared" si="24"/>
        <v>0</v>
      </c>
      <c r="AA114" s="4">
        <f t="shared" si="24"/>
        <v>0</v>
      </c>
      <c r="AB114" s="4">
        <f t="shared" si="24"/>
        <v>0</v>
      </c>
    </row>
    <row r="115" spans="1:28" x14ac:dyDescent="0.25">
      <c r="A115" s="7">
        <f>'Class Schedule Analysis'!A114</f>
        <v>112</v>
      </c>
      <c r="B115" s="7">
        <f>'Class Schedule Analysis'!C114</f>
        <v>6</v>
      </c>
      <c r="C115" s="29" t="str">
        <f>'Class Schedule Analysis'!J114</f>
        <v>MAIN BOARD ROOM</v>
      </c>
      <c r="D115" s="7" t="str">
        <f>'Class Schedule Analysis'!M114</f>
        <v>Physical</v>
      </c>
      <c r="E115" s="30">
        <f>'Class Schedule Analysis'!P114</f>
        <v>46186</v>
      </c>
      <c r="F115" s="30">
        <f>'Class Schedule Analysis'!Q114</f>
        <v>46356</v>
      </c>
      <c r="G115" s="7">
        <f t="shared" si="23"/>
        <v>0</v>
      </c>
      <c r="H115" s="7">
        <f t="shared" si="23"/>
        <v>0</v>
      </c>
      <c r="I115" s="7">
        <f t="shared" si="23"/>
        <v>0</v>
      </c>
      <c r="J115" s="7">
        <f t="shared" si="23"/>
        <v>0</v>
      </c>
      <c r="K115" s="7">
        <f t="shared" si="23"/>
        <v>0</v>
      </c>
      <c r="L115" s="7">
        <f t="shared" si="23"/>
        <v>0</v>
      </c>
      <c r="M115" s="7">
        <f t="shared" si="23"/>
        <v>0</v>
      </c>
      <c r="N115" s="7">
        <f t="shared" si="23"/>
        <v>3</v>
      </c>
      <c r="O115" s="7">
        <f t="shared" si="23"/>
        <v>4</v>
      </c>
      <c r="P115" s="7">
        <f t="shared" si="23"/>
        <v>5</v>
      </c>
      <c r="Q115" s="7">
        <f t="shared" si="24"/>
        <v>4</v>
      </c>
      <c r="R115" s="7">
        <f t="shared" si="24"/>
        <v>5</v>
      </c>
      <c r="S115" s="7">
        <f t="shared" si="24"/>
        <v>4</v>
      </c>
      <c r="T115" s="7">
        <f t="shared" si="24"/>
        <v>0</v>
      </c>
      <c r="U115" s="7">
        <f t="shared" si="24"/>
        <v>0</v>
      </c>
      <c r="V115" s="7">
        <f t="shared" si="24"/>
        <v>0</v>
      </c>
      <c r="W115" s="7">
        <f t="shared" si="24"/>
        <v>0</v>
      </c>
      <c r="X115" s="7">
        <f t="shared" si="24"/>
        <v>0</v>
      </c>
      <c r="Y115" s="7">
        <f t="shared" si="24"/>
        <v>0</v>
      </c>
      <c r="Z115" s="7">
        <f t="shared" si="24"/>
        <v>0</v>
      </c>
      <c r="AA115" s="7">
        <f t="shared" si="24"/>
        <v>0</v>
      </c>
      <c r="AB115" s="7">
        <f t="shared" si="24"/>
        <v>0</v>
      </c>
    </row>
    <row r="116" spans="1:28" x14ac:dyDescent="0.25">
      <c r="A116" s="4">
        <f>'Class Schedule Analysis'!A115</f>
        <v>113</v>
      </c>
      <c r="B116" s="4">
        <f>'Class Schedule Analysis'!C115</f>
        <v>6</v>
      </c>
      <c r="C116" s="23" t="str">
        <f>'Class Schedule Analysis'!J115</f>
        <v>Counseling Room 01 (Online)</v>
      </c>
      <c r="D116" s="4" t="str">
        <f>'Class Schedule Analysis'!M115</f>
        <v>Online</v>
      </c>
      <c r="E116" s="28">
        <f>'Class Schedule Analysis'!P115</f>
        <v>46214</v>
      </c>
      <c r="F116" s="28">
        <f>'Class Schedule Analysis'!Q115</f>
        <v>46361</v>
      </c>
      <c r="G116" s="4">
        <f t="shared" si="23"/>
        <v>0</v>
      </c>
      <c r="H116" s="4">
        <f t="shared" si="23"/>
        <v>0</v>
      </c>
      <c r="I116" s="4">
        <f t="shared" si="23"/>
        <v>0</v>
      </c>
      <c r="J116" s="4">
        <f t="shared" si="23"/>
        <v>0</v>
      </c>
      <c r="K116" s="4">
        <f t="shared" si="23"/>
        <v>0</v>
      </c>
      <c r="L116" s="4">
        <f t="shared" si="23"/>
        <v>0</v>
      </c>
      <c r="M116" s="4">
        <f t="shared" si="23"/>
        <v>0</v>
      </c>
      <c r="N116" s="4">
        <f t="shared" si="23"/>
        <v>0</v>
      </c>
      <c r="O116" s="4">
        <f t="shared" si="23"/>
        <v>3</v>
      </c>
      <c r="P116" s="4">
        <f t="shared" si="23"/>
        <v>5</v>
      </c>
      <c r="Q116" s="4">
        <f t="shared" si="24"/>
        <v>4</v>
      </c>
      <c r="R116" s="4">
        <f t="shared" si="24"/>
        <v>5</v>
      </c>
      <c r="S116" s="4">
        <f t="shared" si="24"/>
        <v>4</v>
      </c>
      <c r="T116" s="4">
        <f t="shared" si="24"/>
        <v>1</v>
      </c>
      <c r="U116" s="4">
        <f t="shared" si="24"/>
        <v>0</v>
      </c>
      <c r="V116" s="4">
        <f t="shared" si="24"/>
        <v>0</v>
      </c>
      <c r="W116" s="4">
        <f t="shared" si="24"/>
        <v>0</v>
      </c>
      <c r="X116" s="4">
        <f t="shared" si="24"/>
        <v>0</v>
      </c>
      <c r="Y116" s="4">
        <f t="shared" si="24"/>
        <v>0</v>
      </c>
      <c r="Z116" s="4">
        <f t="shared" si="24"/>
        <v>0</v>
      </c>
      <c r="AA116" s="4">
        <f t="shared" si="24"/>
        <v>0</v>
      </c>
      <c r="AB116" s="4">
        <f t="shared" si="24"/>
        <v>0</v>
      </c>
    </row>
    <row r="117" spans="1:28" x14ac:dyDescent="0.25">
      <c r="A117" s="7">
        <f>'Class Schedule Analysis'!A116</f>
        <v>114</v>
      </c>
      <c r="B117" s="7">
        <f>'Class Schedule Analysis'!C116</f>
        <v>6</v>
      </c>
      <c r="C117" s="29" t="str">
        <f>'Class Schedule Analysis'!J116</f>
        <v>Library</v>
      </c>
      <c r="D117" s="7" t="str">
        <f>'Class Schedule Analysis'!M116</f>
        <v>Online</v>
      </c>
      <c r="E117" s="30">
        <f>'Class Schedule Analysis'!P116</f>
        <v>0</v>
      </c>
      <c r="F117" s="30">
        <f>'Class Schedule Analysis'!Q116</f>
        <v>0</v>
      </c>
      <c r="G117" s="7">
        <f t="shared" si="23"/>
        <v>0</v>
      </c>
      <c r="H117" s="7">
        <f t="shared" si="23"/>
        <v>0</v>
      </c>
      <c r="I117" s="7">
        <f t="shared" si="23"/>
        <v>0</v>
      </c>
      <c r="J117" s="7">
        <f t="shared" si="23"/>
        <v>0</v>
      </c>
      <c r="K117" s="7">
        <f t="shared" si="23"/>
        <v>0</v>
      </c>
      <c r="L117" s="7">
        <f t="shared" si="23"/>
        <v>0</v>
      </c>
      <c r="M117" s="7">
        <f t="shared" si="23"/>
        <v>0</v>
      </c>
      <c r="N117" s="7">
        <f t="shared" si="23"/>
        <v>0</v>
      </c>
      <c r="O117" s="7">
        <f t="shared" si="23"/>
        <v>0</v>
      </c>
      <c r="P117" s="7">
        <f t="shared" si="23"/>
        <v>0</v>
      </c>
      <c r="Q117" s="7">
        <f t="shared" si="24"/>
        <v>0</v>
      </c>
      <c r="R117" s="7">
        <f t="shared" si="24"/>
        <v>0</v>
      </c>
      <c r="S117" s="7">
        <f t="shared" si="24"/>
        <v>0</v>
      </c>
      <c r="T117" s="7">
        <f t="shared" si="24"/>
        <v>0</v>
      </c>
      <c r="U117" s="7">
        <f t="shared" si="24"/>
        <v>0</v>
      </c>
      <c r="V117" s="7">
        <f t="shared" si="24"/>
        <v>0</v>
      </c>
      <c r="W117" s="7">
        <f t="shared" si="24"/>
        <v>0</v>
      </c>
      <c r="X117" s="7">
        <f t="shared" si="24"/>
        <v>0</v>
      </c>
      <c r="Y117" s="7">
        <f t="shared" si="24"/>
        <v>0</v>
      </c>
      <c r="Z117" s="7">
        <f t="shared" si="24"/>
        <v>0</v>
      </c>
      <c r="AA117" s="7">
        <f t="shared" si="24"/>
        <v>0</v>
      </c>
      <c r="AB117" s="7">
        <f t="shared" si="24"/>
        <v>0</v>
      </c>
    </row>
    <row r="118" spans="1:28" x14ac:dyDescent="0.25">
      <c r="A118" s="4">
        <f>'Class Schedule Analysis'!A117</f>
        <v>115</v>
      </c>
      <c r="B118" s="4">
        <f>'Class Schedule Analysis'!C117</f>
        <v>6</v>
      </c>
      <c r="C118" s="23" t="str">
        <f>'Class Schedule Analysis'!J117</f>
        <v>WEST 101</v>
      </c>
      <c r="D118" s="4" t="str">
        <f>'Class Schedule Analysis'!M117</f>
        <v>Hybrid</v>
      </c>
      <c r="E118" s="28">
        <f>'Class Schedule Analysis'!P117</f>
        <v>46179</v>
      </c>
      <c r="F118" s="28">
        <f>'Class Schedule Analysis'!Q117</f>
        <v>46278</v>
      </c>
      <c r="G118" s="4">
        <f t="shared" si="23"/>
        <v>0</v>
      </c>
      <c r="H118" s="4">
        <f t="shared" si="23"/>
        <v>0</v>
      </c>
      <c r="I118" s="4">
        <f t="shared" si="23"/>
        <v>0</v>
      </c>
      <c r="J118" s="4">
        <f t="shared" si="23"/>
        <v>0</v>
      </c>
      <c r="K118" s="4">
        <f t="shared" si="23"/>
        <v>0</v>
      </c>
      <c r="L118" s="4">
        <f t="shared" si="23"/>
        <v>0</v>
      </c>
      <c r="M118" s="4">
        <f t="shared" si="23"/>
        <v>0</v>
      </c>
      <c r="N118" s="4">
        <f t="shared" si="23"/>
        <v>4</v>
      </c>
      <c r="O118" s="4">
        <f t="shared" si="23"/>
        <v>4</v>
      </c>
      <c r="P118" s="4">
        <f t="shared" si="23"/>
        <v>5</v>
      </c>
      <c r="Q118" s="4">
        <f t="shared" si="24"/>
        <v>2</v>
      </c>
      <c r="R118" s="4">
        <f t="shared" si="24"/>
        <v>0</v>
      </c>
      <c r="S118" s="4">
        <f t="shared" si="24"/>
        <v>0</v>
      </c>
      <c r="T118" s="4">
        <f t="shared" si="24"/>
        <v>0</v>
      </c>
      <c r="U118" s="4">
        <f t="shared" si="24"/>
        <v>0</v>
      </c>
      <c r="V118" s="4">
        <f t="shared" si="24"/>
        <v>0</v>
      </c>
      <c r="W118" s="4">
        <f t="shared" si="24"/>
        <v>0</v>
      </c>
      <c r="X118" s="4">
        <f t="shared" si="24"/>
        <v>0</v>
      </c>
      <c r="Y118" s="4">
        <f t="shared" si="24"/>
        <v>0</v>
      </c>
      <c r="Z118" s="4">
        <f t="shared" si="24"/>
        <v>0</v>
      </c>
      <c r="AA118" s="4">
        <f t="shared" si="24"/>
        <v>0</v>
      </c>
      <c r="AB118" s="4">
        <f t="shared" si="24"/>
        <v>0</v>
      </c>
    </row>
    <row r="119" spans="1:28" x14ac:dyDescent="0.25">
      <c r="A119" s="7">
        <f>'Class Schedule Analysis'!A118</f>
        <v>116</v>
      </c>
      <c r="B119" s="7">
        <f>'Class Schedule Analysis'!C118</f>
        <v>6</v>
      </c>
      <c r="C119" s="29" t="str">
        <f>'Class Schedule Analysis'!J118</f>
        <v>WEST 101</v>
      </c>
      <c r="D119" s="7" t="str">
        <f>'Class Schedule Analysis'!M118</f>
        <v>Hybrid</v>
      </c>
      <c r="E119" s="30">
        <f>'Class Schedule Analysis'!P118</f>
        <v>0</v>
      </c>
      <c r="F119" s="30">
        <f>'Class Schedule Analysis'!Q118</f>
        <v>0</v>
      </c>
      <c r="G119" s="7">
        <f t="shared" si="23"/>
        <v>0</v>
      </c>
      <c r="H119" s="7">
        <f t="shared" si="23"/>
        <v>0</v>
      </c>
      <c r="I119" s="7">
        <f t="shared" si="23"/>
        <v>0</v>
      </c>
      <c r="J119" s="7">
        <f t="shared" si="23"/>
        <v>0</v>
      </c>
      <c r="K119" s="7">
        <f t="shared" si="23"/>
        <v>0</v>
      </c>
      <c r="L119" s="7">
        <f t="shared" si="23"/>
        <v>0</v>
      </c>
      <c r="M119" s="7">
        <f t="shared" si="23"/>
        <v>0</v>
      </c>
      <c r="N119" s="7">
        <f t="shared" si="23"/>
        <v>0</v>
      </c>
      <c r="O119" s="7">
        <f t="shared" si="23"/>
        <v>0</v>
      </c>
      <c r="P119" s="7">
        <f t="shared" si="23"/>
        <v>0</v>
      </c>
      <c r="Q119" s="7">
        <f t="shared" si="24"/>
        <v>0</v>
      </c>
      <c r="R119" s="7">
        <f t="shared" si="24"/>
        <v>0</v>
      </c>
      <c r="S119" s="7">
        <f t="shared" si="24"/>
        <v>0</v>
      </c>
      <c r="T119" s="7">
        <f t="shared" si="24"/>
        <v>0</v>
      </c>
      <c r="U119" s="7">
        <f t="shared" si="24"/>
        <v>0</v>
      </c>
      <c r="V119" s="7">
        <f t="shared" si="24"/>
        <v>0</v>
      </c>
      <c r="W119" s="7">
        <f t="shared" si="24"/>
        <v>0</v>
      </c>
      <c r="X119" s="7">
        <f t="shared" si="24"/>
        <v>0</v>
      </c>
      <c r="Y119" s="7">
        <f t="shared" si="24"/>
        <v>0</v>
      </c>
      <c r="Z119" s="7">
        <f t="shared" si="24"/>
        <v>0</v>
      </c>
      <c r="AA119" s="7">
        <f t="shared" si="24"/>
        <v>0</v>
      </c>
      <c r="AB119" s="7">
        <f t="shared" si="24"/>
        <v>0</v>
      </c>
    </row>
    <row r="120" spans="1:28" x14ac:dyDescent="0.25">
      <c r="A120" s="4">
        <f>'Class Schedule Analysis'!A119</f>
        <v>117</v>
      </c>
      <c r="B120" s="4">
        <f>'Class Schedule Analysis'!C119</f>
        <v>6</v>
      </c>
      <c r="C120" s="23" t="str">
        <f>'Class Schedule Analysis'!J119</f>
        <v>WEST 102</v>
      </c>
      <c r="D120" s="4" t="str">
        <f>'Class Schedule Analysis'!M119</f>
        <v>Physical</v>
      </c>
      <c r="E120" s="28">
        <f>'Class Schedule Analysis'!P119</f>
        <v>0</v>
      </c>
      <c r="F120" s="28">
        <f>'Class Schedule Analysis'!Q119</f>
        <v>0</v>
      </c>
      <c r="G120" s="4">
        <f t="shared" si="23"/>
        <v>0</v>
      </c>
      <c r="H120" s="4">
        <f t="shared" si="23"/>
        <v>0</v>
      </c>
      <c r="I120" s="4">
        <f t="shared" si="23"/>
        <v>0</v>
      </c>
      <c r="J120" s="4">
        <f t="shared" si="23"/>
        <v>0</v>
      </c>
      <c r="K120" s="4">
        <f t="shared" si="23"/>
        <v>0</v>
      </c>
      <c r="L120" s="4">
        <f t="shared" si="23"/>
        <v>0</v>
      </c>
      <c r="M120" s="4">
        <f t="shared" si="23"/>
        <v>0</v>
      </c>
      <c r="N120" s="4">
        <f t="shared" si="23"/>
        <v>0</v>
      </c>
      <c r="O120" s="4">
        <f t="shared" si="23"/>
        <v>0</v>
      </c>
      <c r="P120" s="4">
        <f t="shared" si="23"/>
        <v>0</v>
      </c>
      <c r="Q120" s="4">
        <f t="shared" si="24"/>
        <v>0</v>
      </c>
      <c r="R120" s="4">
        <f t="shared" si="24"/>
        <v>0</v>
      </c>
      <c r="S120" s="4">
        <f t="shared" si="24"/>
        <v>0</v>
      </c>
      <c r="T120" s="4">
        <f t="shared" si="24"/>
        <v>0</v>
      </c>
      <c r="U120" s="4">
        <f t="shared" si="24"/>
        <v>0</v>
      </c>
      <c r="V120" s="4">
        <f t="shared" si="24"/>
        <v>0</v>
      </c>
      <c r="W120" s="4">
        <f t="shared" si="24"/>
        <v>0</v>
      </c>
      <c r="X120" s="4">
        <f t="shared" si="24"/>
        <v>0</v>
      </c>
      <c r="Y120" s="4">
        <f t="shared" si="24"/>
        <v>0</v>
      </c>
      <c r="Z120" s="4">
        <f t="shared" si="24"/>
        <v>0</v>
      </c>
      <c r="AA120" s="4">
        <f t="shared" si="24"/>
        <v>0</v>
      </c>
      <c r="AB120" s="4">
        <f t="shared" si="24"/>
        <v>0</v>
      </c>
    </row>
    <row r="121" spans="1:28" x14ac:dyDescent="0.25">
      <c r="A121" s="7">
        <f>'Class Schedule Analysis'!A120</f>
        <v>118</v>
      </c>
      <c r="B121" s="7">
        <f>'Class Schedule Analysis'!C120</f>
        <v>6</v>
      </c>
      <c r="C121" s="29" t="str">
        <f>'Class Schedule Analysis'!J120</f>
        <v>WEST 104</v>
      </c>
      <c r="D121" s="7" t="str">
        <f>'Class Schedule Analysis'!M120</f>
        <v>Physical</v>
      </c>
      <c r="E121" s="30">
        <f>'Class Schedule Analysis'!P120</f>
        <v>46214</v>
      </c>
      <c r="F121" s="30">
        <f>'Class Schedule Analysis'!Q120</f>
        <v>46361</v>
      </c>
      <c r="G121" s="7">
        <f t="shared" si="23"/>
        <v>0</v>
      </c>
      <c r="H121" s="7">
        <f t="shared" si="23"/>
        <v>0</v>
      </c>
      <c r="I121" s="7">
        <f t="shared" si="23"/>
        <v>0</v>
      </c>
      <c r="J121" s="7">
        <f t="shared" si="23"/>
        <v>0</v>
      </c>
      <c r="K121" s="7">
        <f t="shared" si="23"/>
        <v>0</v>
      </c>
      <c r="L121" s="7">
        <f t="shared" si="23"/>
        <v>0</v>
      </c>
      <c r="M121" s="7">
        <f t="shared" si="23"/>
        <v>0</v>
      </c>
      <c r="N121" s="7">
        <f t="shared" si="23"/>
        <v>0</v>
      </c>
      <c r="O121" s="7">
        <f t="shared" si="23"/>
        <v>3</v>
      </c>
      <c r="P121" s="7">
        <f t="shared" si="23"/>
        <v>5</v>
      </c>
      <c r="Q121" s="7">
        <f t="shared" si="24"/>
        <v>4</v>
      </c>
      <c r="R121" s="7">
        <f t="shared" si="24"/>
        <v>5</v>
      </c>
      <c r="S121" s="7">
        <f t="shared" si="24"/>
        <v>4</v>
      </c>
      <c r="T121" s="7">
        <f t="shared" si="24"/>
        <v>1</v>
      </c>
      <c r="U121" s="7">
        <f t="shared" si="24"/>
        <v>0</v>
      </c>
      <c r="V121" s="7">
        <f t="shared" si="24"/>
        <v>0</v>
      </c>
      <c r="W121" s="7">
        <f t="shared" si="24"/>
        <v>0</v>
      </c>
      <c r="X121" s="7">
        <f t="shared" si="24"/>
        <v>0</v>
      </c>
      <c r="Y121" s="7">
        <f t="shared" si="24"/>
        <v>0</v>
      </c>
      <c r="Z121" s="7">
        <f t="shared" si="24"/>
        <v>0</v>
      </c>
      <c r="AA121" s="7">
        <f t="shared" si="24"/>
        <v>0</v>
      </c>
      <c r="AB121" s="7">
        <f t="shared" si="24"/>
        <v>0</v>
      </c>
    </row>
    <row r="122" spans="1:28" x14ac:dyDescent="0.25">
      <c r="A122" s="4">
        <f>'Class Schedule Analysis'!A121</f>
        <v>119</v>
      </c>
      <c r="B122" s="4">
        <f>'Class Schedule Analysis'!C121</f>
        <v>6</v>
      </c>
      <c r="C122" s="23" t="str">
        <f>'Class Schedule Analysis'!J121</f>
        <v>WEST 105</v>
      </c>
      <c r="D122" s="4" t="str">
        <f>'Class Schedule Analysis'!M121</f>
        <v>Physical</v>
      </c>
      <c r="E122" s="28">
        <f>'Class Schedule Analysis'!P121</f>
        <v>46214</v>
      </c>
      <c r="F122" s="28">
        <f>'Class Schedule Analysis'!Q121</f>
        <v>46361</v>
      </c>
      <c r="G122" s="4">
        <f t="shared" si="23"/>
        <v>0</v>
      </c>
      <c r="H122" s="4">
        <f t="shared" si="23"/>
        <v>0</v>
      </c>
      <c r="I122" s="4">
        <f t="shared" si="23"/>
        <v>0</v>
      </c>
      <c r="J122" s="4">
        <f t="shared" si="23"/>
        <v>0</v>
      </c>
      <c r="K122" s="4">
        <f t="shared" si="23"/>
        <v>0</v>
      </c>
      <c r="L122" s="4">
        <f t="shared" si="23"/>
        <v>0</v>
      </c>
      <c r="M122" s="4">
        <f t="shared" si="23"/>
        <v>0</v>
      </c>
      <c r="N122" s="4">
        <f t="shared" si="23"/>
        <v>0</v>
      </c>
      <c r="O122" s="4">
        <f t="shared" si="23"/>
        <v>3</v>
      </c>
      <c r="P122" s="4">
        <f t="shared" si="23"/>
        <v>5</v>
      </c>
      <c r="Q122" s="4">
        <f t="shared" si="24"/>
        <v>4</v>
      </c>
      <c r="R122" s="4">
        <f t="shared" si="24"/>
        <v>5</v>
      </c>
      <c r="S122" s="4">
        <f t="shared" si="24"/>
        <v>4</v>
      </c>
      <c r="T122" s="4">
        <f t="shared" si="24"/>
        <v>1</v>
      </c>
      <c r="U122" s="4">
        <f t="shared" si="24"/>
        <v>0</v>
      </c>
      <c r="V122" s="4">
        <f t="shared" si="24"/>
        <v>0</v>
      </c>
      <c r="W122" s="4">
        <f t="shared" si="24"/>
        <v>0</v>
      </c>
      <c r="X122" s="4">
        <f t="shared" si="24"/>
        <v>0</v>
      </c>
      <c r="Y122" s="4">
        <f t="shared" si="24"/>
        <v>0</v>
      </c>
      <c r="Z122" s="4">
        <f t="shared" si="24"/>
        <v>0</v>
      </c>
      <c r="AA122" s="4">
        <f t="shared" si="24"/>
        <v>0</v>
      </c>
      <c r="AB122" s="4">
        <f t="shared" si="24"/>
        <v>0</v>
      </c>
    </row>
    <row r="123" spans="1:28" x14ac:dyDescent="0.25">
      <c r="A123" s="7">
        <f>'Class Schedule Analysis'!A122</f>
        <v>120</v>
      </c>
      <c r="B123" s="7">
        <f>'Class Schedule Analysis'!C122</f>
        <v>6</v>
      </c>
      <c r="C123" s="29" t="str">
        <f>'Class Schedule Analysis'!J122</f>
        <v>WEST 107 (New)</v>
      </c>
      <c r="D123" s="7" t="str">
        <f>'Class Schedule Analysis'!M122</f>
        <v>Physical</v>
      </c>
      <c r="E123" s="30">
        <f>'Class Schedule Analysis'!P122</f>
        <v>46118</v>
      </c>
      <c r="F123" s="30">
        <f>'Class Schedule Analysis'!Q122</f>
        <v>46321</v>
      </c>
      <c r="G123" s="7">
        <f t="shared" si="23"/>
        <v>0</v>
      </c>
      <c r="H123" s="7">
        <f t="shared" si="23"/>
        <v>0</v>
      </c>
      <c r="I123" s="7">
        <f t="shared" si="23"/>
        <v>0</v>
      </c>
      <c r="J123" s="7">
        <f t="shared" si="23"/>
        <v>0</v>
      </c>
      <c r="K123" s="7">
        <f t="shared" si="23"/>
        <v>0</v>
      </c>
      <c r="L123" s="7">
        <f t="shared" si="23"/>
        <v>3</v>
      </c>
      <c r="M123" s="7">
        <f t="shared" si="23"/>
        <v>5</v>
      </c>
      <c r="N123" s="7">
        <f t="shared" si="23"/>
        <v>4</v>
      </c>
      <c r="O123" s="7">
        <f t="shared" si="23"/>
        <v>4</v>
      </c>
      <c r="P123" s="7">
        <f t="shared" si="23"/>
        <v>5</v>
      </c>
      <c r="Q123" s="7">
        <f t="shared" si="24"/>
        <v>4</v>
      </c>
      <c r="R123" s="7">
        <f t="shared" si="24"/>
        <v>4</v>
      </c>
      <c r="S123" s="7">
        <f t="shared" si="24"/>
        <v>0</v>
      </c>
      <c r="T123" s="7">
        <f t="shared" si="24"/>
        <v>0</v>
      </c>
      <c r="U123" s="7">
        <f t="shared" si="24"/>
        <v>0</v>
      </c>
      <c r="V123" s="7">
        <f t="shared" si="24"/>
        <v>0</v>
      </c>
      <c r="W123" s="7">
        <f t="shared" si="24"/>
        <v>0</v>
      </c>
      <c r="X123" s="7">
        <f t="shared" si="24"/>
        <v>0</v>
      </c>
      <c r="Y123" s="7">
        <f t="shared" si="24"/>
        <v>0</v>
      </c>
      <c r="Z123" s="7">
        <f t="shared" si="24"/>
        <v>0</v>
      </c>
      <c r="AA123" s="7">
        <f t="shared" si="24"/>
        <v>0</v>
      </c>
      <c r="AB123" s="7">
        <f t="shared" si="24"/>
        <v>0</v>
      </c>
    </row>
    <row r="124" spans="1:28" x14ac:dyDescent="0.25">
      <c r="A124" s="4">
        <f>'Class Schedule Analysis'!A123</f>
        <v>121</v>
      </c>
      <c r="B124" s="4">
        <f>'Class Schedule Analysis'!C123</f>
        <v>6</v>
      </c>
      <c r="C124" s="23" t="str">
        <f>'Class Schedule Analysis'!J123</f>
        <v>WEST 002</v>
      </c>
      <c r="D124" s="4" t="str">
        <f>'Class Schedule Analysis'!M123</f>
        <v>Physical</v>
      </c>
      <c r="E124" s="28">
        <f>'Class Schedule Analysis'!P123</f>
        <v>0</v>
      </c>
      <c r="F124" s="28">
        <f>'Class Schedule Analysis'!Q123</f>
        <v>0</v>
      </c>
      <c r="G124" s="4">
        <f t="shared" ref="G124:P133" si="25">IF(OR($E124="",$F124=""),0,IF(MAX($E124,G$2)&gt;MIN($F124,G$3),0,INT((MIN($F124,G$3)-(MAX($E124,G$2)+MOD($B124-WEEKDAY(MAX($E124,G$2),2),7)))/7)+1))</f>
        <v>0</v>
      </c>
      <c r="H124" s="4">
        <f t="shared" si="25"/>
        <v>0</v>
      </c>
      <c r="I124" s="4">
        <f t="shared" si="25"/>
        <v>0</v>
      </c>
      <c r="J124" s="4">
        <f t="shared" si="25"/>
        <v>0</v>
      </c>
      <c r="K124" s="4">
        <f t="shared" si="25"/>
        <v>0</v>
      </c>
      <c r="L124" s="4">
        <f t="shared" si="25"/>
        <v>0</v>
      </c>
      <c r="M124" s="4">
        <f t="shared" si="25"/>
        <v>0</v>
      </c>
      <c r="N124" s="4">
        <f t="shared" si="25"/>
        <v>0</v>
      </c>
      <c r="O124" s="4">
        <f t="shared" si="25"/>
        <v>0</v>
      </c>
      <c r="P124" s="4">
        <f t="shared" si="25"/>
        <v>0</v>
      </c>
      <c r="Q124" s="4">
        <f t="shared" ref="Q124:AB133" si="26">IF(OR($E124="",$F124=""),0,IF(MAX($E124,Q$2)&gt;MIN($F124,Q$3),0,INT((MIN($F124,Q$3)-(MAX($E124,Q$2)+MOD($B124-WEEKDAY(MAX($E124,Q$2),2),7)))/7)+1))</f>
        <v>0</v>
      </c>
      <c r="R124" s="4">
        <f t="shared" si="26"/>
        <v>0</v>
      </c>
      <c r="S124" s="4">
        <f t="shared" si="26"/>
        <v>0</v>
      </c>
      <c r="T124" s="4">
        <f t="shared" si="26"/>
        <v>0</v>
      </c>
      <c r="U124" s="4">
        <f t="shared" si="26"/>
        <v>0</v>
      </c>
      <c r="V124" s="4">
        <f t="shared" si="26"/>
        <v>0</v>
      </c>
      <c r="W124" s="4">
        <f t="shared" si="26"/>
        <v>0</v>
      </c>
      <c r="X124" s="4">
        <f t="shared" si="26"/>
        <v>0</v>
      </c>
      <c r="Y124" s="4">
        <f t="shared" si="26"/>
        <v>0</v>
      </c>
      <c r="Z124" s="4">
        <f t="shared" si="26"/>
        <v>0</v>
      </c>
      <c r="AA124" s="4">
        <f t="shared" si="26"/>
        <v>0</v>
      </c>
      <c r="AB124" s="4">
        <f t="shared" si="26"/>
        <v>0</v>
      </c>
    </row>
    <row r="125" spans="1:28" x14ac:dyDescent="0.25">
      <c r="A125" s="7">
        <f>'Class Schedule Analysis'!A124</f>
        <v>122</v>
      </c>
      <c r="B125" s="7">
        <f>'Class Schedule Analysis'!C124</f>
        <v>6</v>
      </c>
      <c r="C125" s="29" t="str">
        <f>'Class Schedule Analysis'!J124</f>
        <v>WEST 003</v>
      </c>
      <c r="D125" s="7" t="str">
        <f>'Class Schedule Analysis'!M124</f>
        <v>Physical</v>
      </c>
      <c r="E125" s="30">
        <f>'Class Schedule Analysis'!P124</f>
        <v>46214</v>
      </c>
      <c r="F125" s="30">
        <f>'Class Schedule Analysis'!Q124</f>
        <v>46361</v>
      </c>
      <c r="G125" s="7">
        <f t="shared" si="25"/>
        <v>0</v>
      </c>
      <c r="H125" s="7">
        <f t="shared" si="25"/>
        <v>0</v>
      </c>
      <c r="I125" s="7">
        <f t="shared" si="25"/>
        <v>0</v>
      </c>
      <c r="J125" s="7">
        <f t="shared" si="25"/>
        <v>0</v>
      </c>
      <c r="K125" s="7">
        <f t="shared" si="25"/>
        <v>0</v>
      </c>
      <c r="L125" s="7">
        <f t="shared" si="25"/>
        <v>0</v>
      </c>
      <c r="M125" s="7">
        <f t="shared" si="25"/>
        <v>0</v>
      </c>
      <c r="N125" s="7">
        <f t="shared" si="25"/>
        <v>0</v>
      </c>
      <c r="O125" s="7">
        <f t="shared" si="25"/>
        <v>3</v>
      </c>
      <c r="P125" s="7">
        <f t="shared" si="25"/>
        <v>5</v>
      </c>
      <c r="Q125" s="7">
        <f t="shared" si="26"/>
        <v>4</v>
      </c>
      <c r="R125" s="7">
        <f t="shared" si="26"/>
        <v>5</v>
      </c>
      <c r="S125" s="7">
        <f t="shared" si="26"/>
        <v>4</v>
      </c>
      <c r="T125" s="7">
        <f t="shared" si="26"/>
        <v>1</v>
      </c>
      <c r="U125" s="7">
        <f t="shared" si="26"/>
        <v>0</v>
      </c>
      <c r="V125" s="7">
        <f t="shared" si="26"/>
        <v>0</v>
      </c>
      <c r="W125" s="7">
        <f t="shared" si="26"/>
        <v>0</v>
      </c>
      <c r="X125" s="7">
        <f t="shared" si="26"/>
        <v>0</v>
      </c>
      <c r="Y125" s="7">
        <f t="shared" si="26"/>
        <v>0</v>
      </c>
      <c r="Z125" s="7">
        <f t="shared" si="26"/>
        <v>0</v>
      </c>
      <c r="AA125" s="7">
        <f t="shared" si="26"/>
        <v>0</v>
      </c>
      <c r="AB125" s="7">
        <f t="shared" si="26"/>
        <v>0</v>
      </c>
    </row>
    <row r="126" spans="1:28" x14ac:dyDescent="0.25">
      <c r="A126" s="4">
        <f>'Class Schedule Analysis'!A125</f>
        <v>123</v>
      </c>
      <c r="B126" s="4">
        <f>'Class Schedule Analysis'!C125</f>
        <v>6</v>
      </c>
      <c r="C126" s="23" t="str">
        <f>'Class Schedule Analysis'!J125</f>
        <v>WEST 004</v>
      </c>
      <c r="D126" s="4" t="str">
        <f>'Class Schedule Analysis'!M125</f>
        <v>Physical</v>
      </c>
      <c r="E126" s="28">
        <f>'Class Schedule Analysis'!P125</f>
        <v>46193</v>
      </c>
      <c r="F126" s="28">
        <f>'Class Schedule Analysis'!Q125</f>
        <v>46376</v>
      </c>
      <c r="G126" s="4">
        <f t="shared" si="25"/>
        <v>0</v>
      </c>
      <c r="H126" s="4">
        <f t="shared" si="25"/>
        <v>0</v>
      </c>
      <c r="I126" s="4">
        <f t="shared" si="25"/>
        <v>0</v>
      </c>
      <c r="J126" s="4">
        <f t="shared" si="25"/>
        <v>0</v>
      </c>
      <c r="K126" s="4">
        <f t="shared" si="25"/>
        <v>0</v>
      </c>
      <c r="L126" s="4">
        <f t="shared" si="25"/>
        <v>0</v>
      </c>
      <c r="M126" s="4">
        <f t="shared" si="25"/>
        <v>0</v>
      </c>
      <c r="N126" s="4">
        <f t="shared" si="25"/>
        <v>2</v>
      </c>
      <c r="O126" s="4">
        <f t="shared" si="25"/>
        <v>4</v>
      </c>
      <c r="P126" s="4">
        <f t="shared" si="25"/>
        <v>5</v>
      </c>
      <c r="Q126" s="4">
        <f t="shared" si="26"/>
        <v>4</v>
      </c>
      <c r="R126" s="4">
        <f t="shared" si="26"/>
        <v>5</v>
      </c>
      <c r="S126" s="4">
        <f t="shared" si="26"/>
        <v>4</v>
      </c>
      <c r="T126" s="4">
        <f t="shared" si="26"/>
        <v>3</v>
      </c>
      <c r="U126" s="4">
        <f t="shared" si="26"/>
        <v>0</v>
      </c>
      <c r="V126" s="4">
        <f t="shared" si="26"/>
        <v>0</v>
      </c>
      <c r="W126" s="4">
        <f t="shared" si="26"/>
        <v>0</v>
      </c>
      <c r="X126" s="4">
        <f t="shared" si="26"/>
        <v>0</v>
      </c>
      <c r="Y126" s="4">
        <f t="shared" si="26"/>
        <v>0</v>
      </c>
      <c r="Z126" s="4">
        <f t="shared" si="26"/>
        <v>0</v>
      </c>
      <c r="AA126" s="4">
        <f t="shared" si="26"/>
        <v>0</v>
      </c>
      <c r="AB126" s="4">
        <f t="shared" si="26"/>
        <v>0</v>
      </c>
    </row>
    <row r="127" spans="1:28" x14ac:dyDescent="0.25">
      <c r="A127" s="7">
        <f>'Class Schedule Analysis'!A126</f>
        <v>124</v>
      </c>
      <c r="B127" s="7">
        <f>'Class Schedule Analysis'!C126</f>
        <v>6</v>
      </c>
      <c r="C127" s="29" t="str">
        <f>'Class Schedule Analysis'!J126</f>
        <v>TECH 001</v>
      </c>
      <c r="D127" s="7" t="str">
        <f>'Class Schedule Analysis'!M126</f>
        <v>Hybrid</v>
      </c>
      <c r="E127" s="30">
        <f>'Class Schedule Analysis'!P126</f>
        <v>46179</v>
      </c>
      <c r="F127" s="30">
        <f>'Class Schedule Analysis'!Q126</f>
        <v>46278</v>
      </c>
      <c r="G127" s="7">
        <f t="shared" si="25"/>
        <v>0</v>
      </c>
      <c r="H127" s="7">
        <f t="shared" si="25"/>
        <v>0</v>
      </c>
      <c r="I127" s="7">
        <f t="shared" si="25"/>
        <v>0</v>
      </c>
      <c r="J127" s="7">
        <f t="shared" si="25"/>
        <v>0</v>
      </c>
      <c r="K127" s="7">
        <f t="shared" si="25"/>
        <v>0</v>
      </c>
      <c r="L127" s="7">
        <f t="shared" si="25"/>
        <v>0</v>
      </c>
      <c r="M127" s="7">
        <f t="shared" si="25"/>
        <v>0</v>
      </c>
      <c r="N127" s="7">
        <f t="shared" si="25"/>
        <v>4</v>
      </c>
      <c r="O127" s="7">
        <f t="shared" si="25"/>
        <v>4</v>
      </c>
      <c r="P127" s="7">
        <f t="shared" si="25"/>
        <v>5</v>
      </c>
      <c r="Q127" s="7">
        <f t="shared" si="26"/>
        <v>2</v>
      </c>
      <c r="R127" s="7">
        <f t="shared" si="26"/>
        <v>0</v>
      </c>
      <c r="S127" s="7">
        <f t="shared" si="26"/>
        <v>0</v>
      </c>
      <c r="T127" s="7">
        <f t="shared" si="26"/>
        <v>0</v>
      </c>
      <c r="U127" s="7">
        <f t="shared" si="26"/>
        <v>0</v>
      </c>
      <c r="V127" s="7">
        <f t="shared" si="26"/>
        <v>0</v>
      </c>
      <c r="W127" s="7">
        <f t="shared" si="26"/>
        <v>0</v>
      </c>
      <c r="X127" s="7">
        <f t="shared" si="26"/>
        <v>0</v>
      </c>
      <c r="Y127" s="7">
        <f t="shared" si="26"/>
        <v>0</v>
      </c>
      <c r="Z127" s="7">
        <f t="shared" si="26"/>
        <v>0</v>
      </c>
      <c r="AA127" s="7">
        <f t="shared" si="26"/>
        <v>0</v>
      </c>
      <c r="AB127" s="7">
        <f t="shared" si="26"/>
        <v>0</v>
      </c>
    </row>
    <row r="128" spans="1:28" x14ac:dyDescent="0.25">
      <c r="A128" s="4">
        <f>'Class Schedule Analysis'!A127</f>
        <v>125</v>
      </c>
      <c r="B128" s="4">
        <f>'Class Schedule Analysis'!C127</f>
        <v>6</v>
      </c>
      <c r="C128" s="23" t="str">
        <f>'Class Schedule Analysis'!J127</f>
        <v>TECH 002</v>
      </c>
      <c r="D128" s="4" t="str">
        <f>'Class Schedule Analysis'!M127</f>
        <v>Hybrid</v>
      </c>
      <c r="E128" s="28">
        <f>'Class Schedule Analysis'!P127</f>
        <v>46179</v>
      </c>
      <c r="F128" s="28">
        <f>'Class Schedule Analysis'!Q127</f>
        <v>46278</v>
      </c>
      <c r="G128" s="4">
        <f t="shared" si="25"/>
        <v>0</v>
      </c>
      <c r="H128" s="4">
        <f t="shared" si="25"/>
        <v>0</v>
      </c>
      <c r="I128" s="4">
        <f t="shared" si="25"/>
        <v>0</v>
      </c>
      <c r="J128" s="4">
        <f t="shared" si="25"/>
        <v>0</v>
      </c>
      <c r="K128" s="4">
        <f t="shared" si="25"/>
        <v>0</v>
      </c>
      <c r="L128" s="4">
        <f t="shared" si="25"/>
        <v>0</v>
      </c>
      <c r="M128" s="4">
        <f t="shared" si="25"/>
        <v>0</v>
      </c>
      <c r="N128" s="4">
        <f t="shared" si="25"/>
        <v>4</v>
      </c>
      <c r="O128" s="4">
        <f t="shared" si="25"/>
        <v>4</v>
      </c>
      <c r="P128" s="4">
        <f t="shared" si="25"/>
        <v>5</v>
      </c>
      <c r="Q128" s="4">
        <f t="shared" si="26"/>
        <v>2</v>
      </c>
      <c r="R128" s="4">
        <f t="shared" si="26"/>
        <v>0</v>
      </c>
      <c r="S128" s="4">
        <f t="shared" si="26"/>
        <v>0</v>
      </c>
      <c r="T128" s="4">
        <f t="shared" si="26"/>
        <v>0</v>
      </c>
      <c r="U128" s="4">
        <f t="shared" si="26"/>
        <v>0</v>
      </c>
      <c r="V128" s="4">
        <f t="shared" si="26"/>
        <v>0</v>
      </c>
      <c r="W128" s="4">
        <f t="shared" si="26"/>
        <v>0</v>
      </c>
      <c r="X128" s="4">
        <f t="shared" si="26"/>
        <v>0</v>
      </c>
      <c r="Y128" s="4">
        <f t="shared" si="26"/>
        <v>0</v>
      </c>
      <c r="Z128" s="4">
        <f t="shared" si="26"/>
        <v>0</v>
      </c>
      <c r="AA128" s="4">
        <f t="shared" si="26"/>
        <v>0</v>
      </c>
      <c r="AB128" s="4">
        <f t="shared" si="26"/>
        <v>0</v>
      </c>
    </row>
    <row r="129" spans="1:28" x14ac:dyDescent="0.25">
      <c r="A129" s="7">
        <f>'Class Schedule Analysis'!A128</f>
        <v>126</v>
      </c>
      <c r="B129" s="7">
        <f>'Class Schedule Analysis'!C128</f>
        <v>6</v>
      </c>
      <c r="C129" s="29" t="str">
        <f>'Class Schedule Analysis'!J128</f>
        <v>TECH 003</v>
      </c>
      <c r="D129" s="7" t="str">
        <f>'Class Schedule Analysis'!M128</f>
        <v>Hybrid</v>
      </c>
      <c r="E129" s="30">
        <f>'Class Schedule Analysis'!P128</f>
        <v>46179</v>
      </c>
      <c r="F129" s="30">
        <f>'Class Schedule Analysis'!Q128</f>
        <v>46278</v>
      </c>
      <c r="G129" s="7">
        <f t="shared" si="25"/>
        <v>0</v>
      </c>
      <c r="H129" s="7">
        <f t="shared" si="25"/>
        <v>0</v>
      </c>
      <c r="I129" s="7">
        <f t="shared" si="25"/>
        <v>0</v>
      </c>
      <c r="J129" s="7">
        <f t="shared" si="25"/>
        <v>0</v>
      </c>
      <c r="K129" s="7">
        <f t="shared" si="25"/>
        <v>0</v>
      </c>
      <c r="L129" s="7">
        <f t="shared" si="25"/>
        <v>0</v>
      </c>
      <c r="M129" s="7">
        <f t="shared" si="25"/>
        <v>0</v>
      </c>
      <c r="N129" s="7">
        <f t="shared" si="25"/>
        <v>4</v>
      </c>
      <c r="O129" s="7">
        <f t="shared" si="25"/>
        <v>4</v>
      </c>
      <c r="P129" s="7">
        <f t="shared" si="25"/>
        <v>5</v>
      </c>
      <c r="Q129" s="7">
        <f t="shared" si="26"/>
        <v>2</v>
      </c>
      <c r="R129" s="7">
        <f t="shared" si="26"/>
        <v>0</v>
      </c>
      <c r="S129" s="7">
        <f t="shared" si="26"/>
        <v>0</v>
      </c>
      <c r="T129" s="7">
        <f t="shared" si="26"/>
        <v>0</v>
      </c>
      <c r="U129" s="7">
        <f t="shared" si="26"/>
        <v>0</v>
      </c>
      <c r="V129" s="7">
        <f t="shared" si="26"/>
        <v>0</v>
      </c>
      <c r="W129" s="7">
        <f t="shared" si="26"/>
        <v>0</v>
      </c>
      <c r="X129" s="7">
        <f t="shared" si="26"/>
        <v>0</v>
      </c>
      <c r="Y129" s="7">
        <f t="shared" si="26"/>
        <v>0</v>
      </c>
      <c r="Z129" s="7">
        <f t="shared" si="26"/>
        <v>0</v>
      </c>
      <c r="AA129" s="7">
        <f t="shared" si="26"/>
        <v>0</v>
      </c>
      <c r="AB129" s="7">
        <f t="shared" si="26"/>
        <v>0</v>
      </c>
    </row>
    <row r="130" spans="1:28" x14ac:dyDescent="0.25">
      <c r="A130" s="4">
        <f>'Class Schedule Analysis'!A129</f>
        <v>127</v>
      </c>
      <c r="B130" s="4">
        <f>'Class Schedule Analysis'!C129</f>
        <v>6</v>
      </c>
      <c r="C130" s="23" t="str">
        <f>'Class Schedule Analysis'!J129</f>
        <v>EAST 306</v>
      </c>
      <c r="D130" s="4" t="str">
        <f>'Class Schedule Analysis'!M129</f>
        <v>Online</v>
      </c>
      <c r="E130" s="28">
        <f>'Class Schedule Analysis'!P129</f>
        <v>46109</v>
      </c>
      <c r="F130" s="28">
        <f>'Class Schedule Analysis'!Q129</f>
        <v>46277</v>
      </c>
      <c r="G130" s="4">
        <f t="shared" si="25"/>
        <v>0</v>
      </c>
      <c r="H130" s="4">
        <f t="shared" si="25"/>
        <v>0</v>
      </c>
      <c r="I130" s="4">
        <f t="shared" si="25"/>
        <v>0</v>
      </c>
      <c r="J130" s="4">
        <f t="shared" si="25"/>
        <v>0</v>
      </c>
      <c r="K130" s="4">
        <f t="shared" si="25"/>
        <v>1</v>
      </c>
      <c r="L130" s="4">
        <f t="shared" si="25"/>
        <v>4</v>
      </c>
      <c r="M130" s="4">
        <f t="shared" si="25"/>
        <v>5</v>
      </c>
      <c r="N130" s="4">
        <f t="shared" si="25"/>
        <v>4</v>
      </c>
      <c r="O130" s="4">
        <f t="shared" si="25"/>
        <v>4</v>
      </c>
      <c r="P130" s="4">
        <f t="shared" si="25"/>
        <v>5</v>
      </c>
      <c r="Q130" s="4">
        <f t="shared" si="26"/>
        <v>2</v>
      </c>
      <c r="R130" s="4">
        <f t="shared" si="26"/>
        <v>0</v>
      </c>
      <c r="S130" s="4">
        <f t="shared" si="26"/>
        <v>0</v>
      </c>
      <c r="T130" s="4">
        <f t="shared" si="26"/>
        <v>0</v>
      </c>
      <c r="U130" s="4">
        <f t="shared" si="26"/>
        <v>0</v>
      </c>
      <c r="V130" s="4">
        <f t="shared" si="26"/>
        <v>0</v>
      </c>
      <c r="W130" s="4">
        <f t="shared" si="26"/>
        <v>0</v>
      </c>
      <c r="X130" s="4">
        <f t="shared" si="26"/>
        <v>0</v>
      </c>
      <c r="Y130" s="4">
        <f t="shared" si="26"/>
        <v>0</v>
      </c>
      <c r="Z130" s="4">
        <f t="shared" si="26"/>
        <v>0</v>
      </c>
      <c r="AA130" s="4">
        <f t="shared" si="26"/>
        <v>0</v>
      </c>
      <c r="AB130" s="4">
        <f t="shared" si="26"/>
        <v>0</v>
      </c>
    </row>
    <row r="131" spans="1:28" x14ac:dyDescent="0.25">
      <c r="A131" s="7">
        <f>'Class Schedule Analysis'!A130</f>
        <v>128</v>
      </c>
      <c r="B131" s="7">
        <f>'Class Schedule Analysis'!C130</f>
        <v>6</v>
      </c>
      <c r="C131" s="29" t="str">
        <f>'Class Schedule Analysis'!J130</f>
        <v>STUDY ABROAD ROOM (Online)</v>
      </c>
      <c r="D131" s="7" t="str">
        <f>'Class Schedule Analysis'!M130</f>
        <v>Online</v>
      </c>
      <c r="E131" s="30">
        <f>'Class Schedule Analysis'!P130</f>
        <v>0</v>
      </c>
      <c r="F131" s="30">
        <f>'Class Schedule Analysis'!Q130</f>
        <v>0</v>
      </c>
      <c r="G131" s="7">
        <f t="shared" si="25"/>
        <v>0</v>
      </c>
      <c r="H131" s="7">
        <f t="shared" si="25"/>
        <v>0</v>
      </c>
      <c r="I131" s="7">
        <f t="shared" si="25"/>
        <v>0</v>
      </c>
      <c r="J131" s="7">
        <f t="shared" si="25"/>
        <v>0</v>
      </c>
      <c r="K131" s="7">
        <f t="shared" si="25"/>
        <v>0</v>
      </c>
      <c r="L131" s="7">
        <f t="shared" si="25"/>
        <v>0</v>
      </c>
      <c r="M131" s="7">
        <f t="shared" si="25"/>
        <v>0</v>
      </c>
      <c r="N131" s="7">
        <f t="shared" si="25"/>
        <v>0</v>
      </c>
      <c r="O131" s="7">
        <f t="shared" si="25"/>
        <v>0</v>
      </c>
      <c r="P131" s="7">
        <f t="shared" si="25"/>
        <v>0</v>
      </c>
      <c r="Q131" s="7">
        <f t="shared" si="26"/>
        <v>0</v>
      </c>
      <c r="R131" s="7">
        <f t="shared" si="26"/>
        <v>0</v>
      </c>
      <c r="S131" s="7">
        <f t="shared" si="26"/>
        <v>0</v>
      </c>
      <c r="T131" s="7">
        <f t="shared" si="26"/>
        <v>0</v>
      </c>
      <c r="U131" s="7">
        <f t="shared" si="26"/>
        <v>0</v>
      </c>
      <c r="V131" s="7">
        <f t="shared" si="26"/>
        <v>0</v>
      </c>
      <c r="W131" s="7">
        <f t="shared" si="26"/>
        <v>0</v>
      </c>
      <c r="X131" s="7">
        <f t="shared" si="26"/>
        <v>0</v>
      </c>
      <c r="Y131" s="7">
        <f t="shared" si="26"/>
        <v>0</v>
      </c>
      <c r="Z131" s="7">
        <f t="shared" si="26"/>
        <v>0</v>
      </c>
      <c r="AA131" s="7">
        <f t="shared" si="26"/>
        <v>0</v>
      </c>
      <c r="AB131" s="7">
        <f t="shared" si="26"/>
        <v>0</v>
      </c>
    </row>
    <row r="132" spans="1:28" x14ac:dyDescent="0.25">
      <c r="A132" s="4">
        <f>'Class Schedule Analysis'!A131</f>
        <v>129</v>
      </c>
      <c r="B132" s="4">
        <f>'Class Schedule Analysis'!C131</f>
        <v>7</v>
      </c>
      <c r="C132" s="23" t="str">
        <f>'Class Schedule Analysis'!J131</f>
        <v>WEST 101</v>
      </c>
      <c r="D132" s="4" t="str">
        <f>'Class Schedule Analysis'!M131</f>
        <v>Physical</v>
      </c>
      <c r="E132" s="28">
        <f>'Class Schedule Analysis'!P131</f>
        <v>46214</v>
      </c>
      <c r="F132" s="28">
        <f>'Class Schedule Analysis'!Q131</f>
        <v>46361</v>
      </c>
      <c r="G132" s="4">
        <f t="shared" si="25"/>
        <v>0</v>
      </c>
      <c r="H132" s="4">
        <f t="shared" si="25"/>
        <v>0</v>
      </c>
      <c r="I132" s="4">
        <f t="shared" si="25"/>
        <v>0</v>
      </c>
      <c r="J132" s="4">
        <f t="shared" si="25"/>
        <v>0</v>
      </c>
      <c r="K132" s="4">
        <f t="shared" si="25"/>
        <v>0</v>
      </c>
      <c r="L132" s="4">
        <f t="shared" si="25"/>
        <v>0</v>
      </c>
      <c r="M132" s="4">
        <f t="shared" si="25"/>
        <v>0</v>
      </c>
      <c r="N132" s="4">
        <f t="shared" si="25"/>
        <v>0</v>
      </c>
      <c r="O132" s="4">
        <f t="shared" si="25"/>
        <v>3</v>
      </c>
      <c r="P132" s="4">
        <f t="shared" si="25"/>
        <v>5</v>
      </c>
      <c r="Q132" s="4">
        <f t="shared" si="26"/>
        <v>4</v>
      </c>
      <c r="R132" s="4">
        <f t="shared" si="26"/>
        <v>4</v>
      </c>
      <c r="S132" s="4">
        <f t="shared" si="26"/>
        <v>5</v>
      </c>
      <c r="T132" s="4">
        <f t="shared" si="26"/>
        <v>0</v>
      </c>
      <c r="U132" s="4">
        <f t="shared" si="26"/>
        <v>0</v>
      </c>
      <c r="V132" s="4">
        <f t="shared" si="26"/>
        <v>0</v>
      </c>
      <c r="W132" s="4">
        <f t="shared" si="26"/>
        <v>0</v>
      </c>
      <c r="X132" s="4">
        <f t="shared" si="26"/>
        <v>0</v>
      </c>
      <c r="Y132" s="4">
        <f t="shared" si="26"/>
        <v>0</v>
      </c>
      <c r="Z132" s="4">
        <f t="shared" si="26"/>
        <v>0</v>
      </c>
      <c r="AA132" s="4">
        <f t="shared" si="26"/>
        <v>0</v>
      </c>
      <c r="AB132" s="4">
        <f t="shared" si="26"/>
        <v>0</v>
      </c>
    </row>
    <row r="133" spans="1:28" x14ac:dyDescent="0.25">
      <c r="A133" s="7">
        <f>'Class Schedule Analysis'!A132</f>
        <v>130</v>
      </c>
      <c r="B133" s="7">
        <f>'Class Schedule Analysis'!C132</f>
        <v>7</v>
      </c>
      <c r="C133" s="29" t="str">
        <f>'Class Schedule Analysis'!J132</f>
        <v>WEST 102</v>
      </c>
      <c r="D133" s="7" t="str">
        <f>'Class Schedule Analysis'!M132</f>
        <v>Physical</v>
      </c>
      <c r="E133" s="30">
        <f>'Class Schedule Analysis'!P132</f>
        <v>46117</v>
      </c>
      <c r="F133" s="30">
        <f>'Class Schedule Analysis'!Q132</f>
        <v>46285</v>
      </c>
      <c r="G133" s="7">
        <f t="shared" si="25"/>
        <v>0</v>
      </c>
      <c r="H133" s="7">
        <f t="shared" si="25"/>
        <v>0</v>
      </c>
      <c r="I133" s="7">
        <f t="shared" si="25"/>
        <v>0</v>
      </c>
      <c r="J133" s="7">
        <f t="shared" si="25"/>
        <v>0</v>
      </c>
      <c r="K133" s="7">
        <f t="shared" si="25"/>
        <v>0</v>
      </c>
      <c r="L133" s="7">
        <f t="shared" si="25"/>
        <v>4</v>
      </c>
      <c r="M133" s="7">
        <f t="shared" si="25"/>
        <v>5</v>
      </c>
      <c r="N133" s="7">
        <f t="shared" si="25"/>
        <v>4</v>
      </c>
      <c r="O133" s="7">
        <f t="shared" si="25"/>
        <v>4</v>
      </c>
      <c r="P133" s="7">
        <f t="shared" si="25"/>
        <v>5</v>
      </c>
      <c r="Q133" s="7">
        <f t="shared" si="26"/>
        <v>3</v>
      </c>
      <c r="R133" s="7">
        <f t="shared" si="26"/>
        <v>0</v>
      </c>
      <c r="S133" s="7">
        <f t="shared" si="26"/>
        <v>0</v>
      </c>
      <c r="T133" s="7">
        <f t="shared" si="26"/>
        <v>0</v>
      </c>
      <c r="U133" s="7">
        <f t="shared" si="26"/>
        <v>0</v>
      </c>
      <c r="V133" s="7">
        <f t="shared" si="26"/>
        <v>0</v>
      </c>
      <c r="W133" s="7">
        <f t="shared" si="26"/>
        <v>0</v>
      </c>
      <c r="X133" s="7">
        <f t="shared" si="26"/>
        <v>0</v>
      </c>
      <c r="Y133" s="7">
        <f t="shared" si="26"/>
        <v>0</v>
      </c>
      <c r="Z133" s="7">
        <f t="shared" si="26"/>
        <v>0</v>
      </c>
      <c r="AA133" s="7">
        <f t="shared" si="26"/>
        <v>0</v>
      </c>
      <c r="AB133" s="7">
        <f t="shared" si="26"/>
        <v>0</v>
      </c>
    </row>
    <row r="134" spans="1:28" x14ac:dyDescent="0.25">
      <c r="A134" s="4">
        <f>'Class Schedule Analysis'!A133</f>
        <v>131</v>
      </c>
      <c r="B134" s="4">
        <f>'Class Schedule Analysis'!C133</f>
        <v>7</v>
      </c>
      <c r="C134" s="23" t="str">
        <f>'Class Schedule Analysis'!J133</f>
        <v>WEST 107 (New)</v>
      </c>
      <c r="D134" s="4" t="str">
        <f>'Class Schedule Analysis'!M133</f>
        <v>Physical</v>
      </c>
      <c r="E134" s="28">
        <f>'Class Schedule Analysis'!P133</f>
        <v>46117</v>
      </c>
      <c r="F134" s="28">
        <f>'Class Schedule Analysis'!Q133</f>
        <v>46285</v>
      </c>
      <c r="G134" s="4">
        <f t="shared" ref="G134:P143" si="27">IF(OR($E134="",$F134=""),0,IF(MAX($E134,G$2)&gt;MIN($F134,G$3),0,INT((MIN($F134,G$3)-(MAX($E134,G$2)+MOD($B134-WEEKDAY(MAX($E134,G$2),2),7)))/7)+1))</f>
        <v>0</v>
      </c>
      <c r="H134" s="4">
        <f t="shared" si="27"/>
        <v>0</v>
      </c>
      <c r="I134" s="4">
        <f t="shared" si="27"/>
        <v>0</v>
      </c>
      <c r="J134" s="4">
        <f t="shared" si="27"/>
        <v>0</v>
      </c>
      <c r="K134" s="4">
        <f t="shared" si="27"/>
        <v>0</v>
      </c>
      <c r="L134" s="4">
        <f t="shared" si="27"/>
        <v>4</v>
      </c>
      <c r="M134" s="4">
        <f t="shared" si="27"/>
        <v>5</v>
      </c>
      <c r="N134" s="4">
        <f t="shared" si="27"/>
        <v>4</v>
      </c>
      <c r="O134" s="4">
        <f t="shared" si="27"/>
        <v>4</v>
      </c>
      <c r="P134" s="4">
        <f t="shared" si="27"/>
        <v>5</v>
      </c>
      <c r="Q134" s="4">
        <f t="shared" ref="Q134:AB143" si="28">IF(OR($E134="",$F134=""),0,IF(MAX($E134,Q$2)&gt;MIN($F134,Q$3),0,INT((MIN($F134,Q$3)-(MAX($E134,Q$2)+MOD($B134-WEEKDAY(MAX($E134,Q$2),2),7)))/7)+1))</f>
        <v>3</v>
      </c>
      <c r="R134" s="4">
        <f t="shared" si="28"/>
        <v>0</v>
      </c>
      <c r="S134" s="4">
        <f t="shared" si="28"/>
        <v>0</v>
      </c>
      <c r="T134" s="4">
        <f t="shared" si="28"/>
        <v>0</v>
      </c>
      <c r="U134" s="4">
        <f t="shared" si="28"/>
        <v>0</v>
      </c>
      <c r="V134" s="4">
        <f t="shared" si="28"/>
        <v>0</v>
      </c>
      <c r="W134" s="4">
        <f t="shared" si="28"/>
        <v>0</v>
      </c>
      <c r="X134" s="4">
        <f t="shared" si="28"/>
        <v>0</v>
      </c>
      <c r="Y134" s="4">
        <f t="shared" si="28"/>
        <v>0</v>
      </c>
      <c r="Z134" s="4">
        <f t="shared" si="28"/>
        <v>0</v>
      </c>
      <c r="AA134" s="4">
        <f t="shared" si="28"/>
        <v>0</v>
      </c>
      <c r="AB134" s="4">
        <f t="shared" si="28"/>
        <v>0</v>
      </c>
    </row>
    <row r="135" spans="1:28" x14ac:dyDescent="0.25">
      <c r="A135" s="7">
        <f>'Class Schedule Analysis'!A134</f>
        <v>132</v>
      </c>
      <c r="B135" s="7">
        <f>'Class Schedule Analysis'!C134</f>
        <v>7</v>
      </c>
      <c r="C135" s="29" t="str">
        <f>'Class Schedule Analysis'!J134</f>
        <v>WEST 005</v>
      </c>
      <c r="D135" s="7" t="str">
        <f>'Class Schedule Analysis'!M134</f>
        <v>Physical</v>
      </c>
      <c r="E135" s="30">
        <f>'Class Schedule Analysis'!P134</f>
        <v>46209</v>
      </c>
      <c r="F135" s="30">
        <f>'Class Schedule Analysis'!Q134</f>
        <v>46285</v>
      </c>
      <c r="G135" s="7">
        <f t="shared" si="27"/>
        <v>0</v>
      </c>
      <c r="H135" s="7">
        <f t="shared" si="27"/>
        <v>0</v>
      </c>
      <c r="I135" s="7">
        <f t="shared" si="27"/>
        <v>0</v>
      </c>
      <c r="J135" s="7">
        <f t="shared" si="27"/>
        <v>0</v>
      </c>
      <c r="K135" s="7">
        <f t="shared" si="27"/>
        <v>0</v>
      </c>
      <c r="L135" s="7">
        <f t="shared" si="27"/>
        <v>0</v>
      </c>
      <c r="M135" s="7">
        <f t="shared" si="27"/>
        <v>0</v>
      </c>
      <c r="N135" s="7">
        <f t="shared" si="27"/>
        <v>0</v>
      </c>
      <c r="O135" s="7">
        <f t="shared" si="27"/>
        <v>3</v>
      </c>
      <c r="P135" s="7">
        <f t="shared" si="27"/>
        <v>5</v>
      </c>
      <c r="Q135" s="7">
        <f t="shared" si="28"/>
        <v>3</v>
      </c>
      <c r="R135" s="7">
        <f t="shared" si="28"/>
        <v>0</v>
      </c>
      <c r="S135" s="7">
        <f t="shared" si="28"/>
        <v>0</v>
      </c>
      <c r="T135" s="7">
        <f t="shared" si="28"/>
        <v>0</v>
      </c>
      <c r="U135" s="7">
        <f t="shared" si="28"/>
        <v>0</v>
      </c>
      <c r="V135" s="7">
        <f t="shared" si="28"/>
        <v>0</v>
      </c>
      <c r="W135" s="7">
        <f t="shared" si="28"/>
        <v>0</v>
      </c>
      <c r="X135" s="7">
        <f t="shared" si="28"/>
        <v>0</v>
      </c>
      <c r="Y135" s="7">
        <f t="shared" si="28"/>
        <v>0</v>
      </c>
      <c r="Z135" s="7">
        <f t="shared" si="28"/>
        <v>0</v>
      </c>
      <c r="AA135" s="7">
        <f t="shared" si="28"/>
        <v>0</v>
      </c>
      <c r="AB135" s="7">
        <f t="shared" si="28"/>
        <v>0</v>
      </c>
    </row>
    <row r="136" spans="1:28" x14ac:dyDescent="0.25">
      <c r="A136" s="4">
        <f>'Class Schedule Analysis'!A135</f>
        <v>133</v>
      </c>
      <c r="B136" s="4">
        <f>'Class Schedule Analysis'!C135</f>
        <v>7</v>
      </c>
      <c r="C136" s="23" t="str">
        <f>'Class Schedule Analysis'!J135</f>
        <v>TECH 002</v>
      </c>
      <c r="D136" s="4" t="str">
        <f>'Class Schedule Analysis'!M135</f>
        <v>Hybrid/Physical (mixed)</v>
      </c>
      <c r="E136" s="28">
        <f>'Class Schedule Analysis'!P135</f>
        <v>0</v>
      </c>
      <c r="F136" s="28">
        <f>'Class Schedule Analysis'!Q135</f>
        <v>0</v>
      </c>
      <c r="G136" s="4">
        <f t="shared" si="27"/>
        <v>0</v>
      </c>
      <c r="H136" s="4">
        <f t="shared" si="27"/>
        <v>0</v>
      </c>
      <c r="I136" s="4">
        <f t="shared" si="27"/>
        <v>0</v>
      </c>
      <c r="J136" s="4">
        <f t="shared" si="27"/>
        <v>0</v>
      </c>
      <c r="K136" s="4">
        <f t="shared" si="27"/>
        <v>0</v>
      </c>
      <c r="L136" s="4">
        <f t="shared" si="27"/>
        <v>0</v>
      </c>
      <c r="M136" s="4">
        <f t="shared" si="27"/>
        <v>0</v>
      </c>
      <c r="N136" s="4">
        <f t="shared" si="27"/>
        <v>0</v>
      </c>
      <c r="O136" s="4">
        <f t="shared" si="27"/>
        <v>0</v>
      </c>
      <c r="P136" s="4">
        <f t="shared" si="27"/>
        <v>0</v>
      </c>
      <c r="Q136" s="4">
        <f t="shared" si="28"/>
        <v>0</v>
      </c>
      <c r="R136" s="4">
        <f t="shared" si="28"/>
        <v>0</v>
      </c>
      <c r="S136" s="4">
        <f t="shared" si="28"/>
        <v>0</v>
      </c>
      <c r="T136" s="4">
        <f t="shared" si="28"/>
        <v>0</v>
      </c>
      <c r="U136" s="4">
        <f t="shared" si="28"/>
        <v>0</v>
      </c>
      <c r="V136" s="4">
        <f t="shared" si="28"/>
        <v>0</v>
      </c>
      <c r="W136" s="4">
        <f t="shared" si="28"/>
        <v>0</v>
      </c>
      <c r="X136" s="4">
        <f t="shared" si="28"/>
        <v>0</v>
      </c>
      <c r="Y136" s="4">
        <f t="shared" si="28"/>
        <v>0</v>
      </c>
      <c r="Z136" s="4">
        <f t="shared" si="28"/>
        <v>0</v>
      </c>
      <c r="AA136" s="4">
        <f t="shared" si="28"/>
        <v>0</v>
      </c>
      <c r="AB136" s="4">
        <f t="shared" si="28"/>
        <v>0</v>
      </c>
    </row>
    <row r="137" spans="1:28" x14ac:dyDescent="0.25">
      <c r="A137" s="7">
        <f>'Class Schedule Analysis'!A136</f>
        <v>134</v>
      </c>
      <c r="B137" s="7">
        <f>'Class Schedule Analysis'!C136</f>
        <v>7</v>
      </c>
      <c r="C137" s="29" t="str">
        <f>'Class Schedule Analysis'!J136</f>
        <v>EAST 304</v>
      </c>
      <c r="D137" s="7" t="str">
        <f>'Class Schedule Analysis'!M136</f>
        <v>Hybrid</v>
      </c>
      <c r="E137" s="30">
        <f>'Class Schedule Analysis'!P136</f>
        <v>0</v>
      </c>
      <c r="F137" s="30">
        <f>'Class Schedule Analysis'!Q136</f>
        <v>0</v>
      </c>
      <c r="G137" s="7">
        <f t="shared" si="27"/>
        <v>0</v>
      </c>
      <c r="H137" s="7">
        <f t="shared" si="27"/>
        <v>0</v>
      </c>
      <c r="I137" s="7">
        <f t="shared" si="27"/>
        <v>0</v>
      </c>
      <c r="J137" s="7">
        <f t="shared" si="27"/>
        <v>0</v>
      </c>
      <c r="K137" s="7">
        <f t="shared" si="27"/>
        <v>0</v>
      </c>
      <c r="L137" s="7">
        <f t="shared" si="27"/>
        <v>0</v>
      </c>
      <c r="M137" s="7">
        <f t="shared" si="27"/>
        <v>0</v>
      </c>
      <c r="N137" s="7">
        <f t="shared" si="27"/>
        <v>0</v>
      </c>
      <c r="O137" s="7">
        <f t="shared" si="27"/>
        <v>0</v>
      </c>
      <c r="P137" s="7">
        <f t="shared" si="27"/>
        <v>0</v>
      </c>
      <c r="Q137" s="7">
        <f t="shared" si="28"/>
        <v>0</v>
      </c>
      <c r="R137" s="7">
        <f t="shared" si="28"/>
        <v>0</v>
      </c>
      <c r="S137" s="7">
        <f t="shared" si="28"/>
        <v>0</v>
      </c>
      <c r="T137" s="7">
        <f t="shared" si="28"/>
        <v>0</v>
      </c>
      <c r="U137" s="7">
        <f t="shared" si="28"/>
        <v>0</v>
      </c>
      <c r="V137" s="7">
        <f t="shared" si="28"/>
        <v>0</v>
      </c>
      <c r="W137" s="7">
        <f t="shared" si="28"/>
        <v>0</v>
      </c>
      <c r="X137" s="7">
        <f t="shared" si="28"/>
        <v>0</v>
      </c>
      <c r="Y137" s="7">
        <f t="shared" si="28"/>
        <v>0</v>
      </c>
      <c r="Z137" s="7">
        <f t="shared" si="28"/>
        <v>0</v>
      </c>
      <c r="AA137" s="7">
        <f t="shared" si="28"/>
        <v>0</v>
      </c>
      <c r="AB137" s="7">
        <f t="shared" si="28"/>
        <v>0</v>
      </c>
    </row>
    <row r="138" spans="1:28" x14ac:dyDescent="0.25">
      <c r="A138" s="4">
        <f>'Class Schedule Analysis'!A137</f>
        <v>135</v>
      </c>
      <c r="B138" s="4">
        <f>'Class Schedule Analysis'!C137</f>
        <v>7</v>
      </c>
      <c r="C138" s="23" t="str">
        <f>'Class Schedule Analysis'!J137</f>
        <v>EAST 305</v>
      </c>
      <c r="D138" s="4" t="str">
        <f>'Class Schedule Analysis'!M137</f>
        <v>Hybrid</v>
      </c>
      <c r="E138" s="28">
        <f>'Class Schedule Analysis'!P137</f>
        <v>0</v>
      </c>
      <c r="F138" s="28">
        <f>'Class Schedule Analysis'!Q137</f>
        <v>0</v>
      </c>
      <c r="G138" s="4">
        <f t="shared" si="27"/>
        <v>0</v>
      </c>
      <c r="H138" s="4">
        <f t="shared" si="27"/>
        <v>0</v>
      </c>
      <c r="I138" s="4">
        <f t="shared" si="27"/>
        <v>0</v>
      </c>
      <c r="J138" s="4">
        <f t="shared" si="27"/>
        <v>0</v>
      </c>
      <c r="K138" s="4">
        <f t="shared" si="27"/>
        <v>0</v>
      </c>
      <c r="L138" s="4">
        <f t="shared" si="27"/>
        <v>0</v>
      </c>
      <c r="M138" s="4">
        <f t="shared" si="27"/>
        <v>0</v>
      </c>
      <c r="N138" s="4">
        <f t="shared" si="27"/>
        <v>0</v>
      </c>
      <c r="O138" s="4">
        <f t="shared" si="27"/>
        <v>0</v>
      </c>
      <c r="P138" s="4">
        <f t="shared" si="27"/>
        <v>0</v>
      </c>
      <c r="Q138" s="4">
        <f t="shared" si="28"/>
        <v>0</v>
      </c>
      <c r="R138" s="4">
        <f t="shared" si="28"/>
        <v>0</v>
      </c>
      <c r="S138" s="4">
        <f t="shared" si="28"/>
        <v>0</v>
      </c>
      <c r="T138" s="4">
        <f t="shared" si="28"/>
        <v>0</v>
      </c>
      <c r="U138" s="4">
        <f t="shared" si="28"/>
        <v>0</v>
      </c>
      <c r="V138" s="4">
        <f t="shared" si="28"/>
        <v>0</v>
      </c>
      <c r="W138" s="4">
        <f t="shared" si="28"/>
        <v>0</v>
      </c>
      <c r="X138" s="4">
        <f t="shared" si="28"/>
        <v>0</v>
      </c>
      <c r="Y138" s="4">
        <f t="shared" si="28"/>
        <v>0</v>
      </c>
      <c r="Z138" s="4">
        <f t="shared" si="28"/>
        <v>0</v>
      </c>
      <c r="AA138" s="4">
        <f t="shared" si="28"/>
        <v>0</v>
      </c>
      <c r="AB138" s="4">
        <f t="shared" si="28"/>
        <v>0</v>
      </c>
    </row>
    <row r="139" spans="1:28" x14ac:dyDescent="0.25">
      <c r="A139" s="7">
        <f>'Class Schedule Analysis'!A138</f>
        <v>136</v>
      </c>
      <c r="B139" s="7">
        <f>'Class Schedule Analysis'!C138</f>
        <v>7</v>
      </c>
      <c r="C139" s="29" t="str">
        <f>'Class Schedule Analysis'!J138</f>
        <v>EAST 306</v>
      </c>
      <c r="D139" s="7" t="str">
        <f>'Class Schedule Analysis'!M138</f>
        <v>Hybrid</v>
      </c>
      <c r="E139" s="30">
        <f>'Class Schedule Analysis'!P138</f>
        <v>46138</v>
      </c>
      <c r="F139" s="30">
        <f>'Class Schedule Analysis'!Q138</f>
        <v>46269</v>
      </c>
      <c r="G139" s="7">
        <f t="shared" si="27"/>
        <v>0</v>
      </c>
      <c r="H139" s="7">
        <f t="shared" si="27"/>
        <v>0</v>
      </c>
      <c r="I139" s="7">
        <f t="shared" si="27"/>
        <v>0</v>
      </c>
      <c r="J139" s="7">
        <f t="shared" si="27"/>
        <v>0</v>
      </c>
      <c r="K139" s="7">
        <f t="shared" si="27"/>
        <v>0</v>
      </c>
      <c r="L139" s="7">
        <f t="shared" si="27"/>
        <v>1</v>
      </c>
      <c r="M139" s="7">
        <f t="shared" si="27"/>
        <v>5</v>
      </c>
      <c r="N139" s="7">
        <f t="shared" si="27"/>
        <v>4</v>
      </c>
      <c r="O139" s="7">
        <f t="shared" si="27"/>
        <v>4</v>
      </c>
      <c r="P139" s="7">
        <f t="shared" si="27"/>
        <v>5</v>
      </c>
      <c r="Q139" s="7">
        <f t="shared" si="28"/>
        <v>0</v>
      </c>
      <c r="R139" s="7">
        <f t="shared" si="28"/>
        <v>0</v>
      </c>
      <c r="S139" s="7">
        <f t="shared" si="28"/>
        <v>0</v>
      </c>
      <c r="T139" s="7">
        <f t="shared" si="28"/>
        <v>0</v>
      </c>
      <c r="U139" s="7">
        <f t="shared" si="28"/>
        <v>0</v>
      </c>
      <c r="V139" s="7">
        <f t="shared" si="28"/>
        <v>0</v>
      </c>
      <c r="W139" s="7">
        <f t="shared" si="28"/>
        <v>0</v>
      </c>
      <c r="X139" s="7">
        <f t="shared" si="28"/>
        <v>0</v>
      </c>
      <c r="Y139" s="7">
        <f t="shared" si="28"/>
        <v>0</v>
      </c>
      <c r="Z139" s="7">
        <f t="shared" si="28"/>
        <v>0</v>
      </c>
      <c r="AA139" s="7">
        <f t="shared" si="28"/>
        <v>0</v>
      </c>
      <c r="AB139" s="7">
        <f t="shared" si="28"/>
        <v>0</v>
      </c>
    </row>
    <row r="140" spans="1:28" x14ac:dyDescent="0.25">
      <c r="A140" s="4">
        <f>'Class Schedule Analysis'!A139</f>
        <v>137</v>
      </c>
      <c r="B140" s="4">
        <f>'Class Schedule Analysis'!C139</f>
        <v>7</v>
      </c>
      <c r="C140" s="23" t="str">
        <f>'Class Schedule Analysis'!J139</f>
        <v>EAST 307</v>
      </c>
      <c r="D140" s="4" t="str">
        <f>'Class Schedule Analysis'!M139</f>
        <v>Hybrid</v>
      </c>
      <c r="E140" s="28">
        <f>'Class Schedule Analysis'!P139</f>
        <v>46138</v>
      </c>
      <c r="F140" s="28">
        <f>'Class Schedule Analysis'!Q139</f>
        <v>46299</v>
      </c>
      <c r="G140" s="4">
        <f t="shared" si="27"/>
        <v>0</v>
      </c>
      <c r="H140" s="4">
        <f t="shared" si="27"/>
        <v>0</v>
      </c>
      <c r="I140" s="4">
        <f t="shared" si="27"/>
        <v>0</v>
      </c>
      <c r="J140" s="4">
        <f t="shared" si="27"/>
        <v>0</v>
      </c>
      <c r="K140" s="4">
        <f t="shared" si="27"/>
        <v>0</v>
      </c>
      <c r="L140" s="4">
        <f t="shared" si="27"/>
        <v>1</v>
      </c>
      <c r="M140" s="4">
        <f t="shared" si="27"/>
        <v>5</v>
      </c>
      <c r="N140" s="4">
        <f t="shared" si="27"/>
        <v>4</v>
      </c>
      <c r="O140" s="4">
        <f t="shared" si="27"/>
        <v>4</v>
      </c>
      <c r="P140" s="4">
        <f t="shared" si="27"/>
        <v>5</v>
      </c>
      <c r="Q140" s="4">
        <f t="shared" si="28"/>
        <v>4</v>
      </c>
      <c r="R140" s="4">
        <f t="shared" si="28"/>
        <v>1</v>
      </c>
      <c r="S140" s="4">
        <f t="shared" si="28"/>
        <v>0</v>
      </c>
      <c r="T140" s="4">
        <f t="shared" si="28"/>
        <v>0</v>
      </c>
      <c r="U140" s="4">
        <f t="shared" si="28"/>
        <v>0</v>
      </c>
      <c r="V140" s="4">
        <f t="shared" si="28"/>
        <v>0</v>
      </c>
      <c r="W140" s="4">
        <f t="shared" si="28"/>
        <v>0</v>
      </c>
      <c r="X140" s="4">
        <f t="shared" si="28"/>
        <v>0</v>
      </c>
      <c r="Y140" s="4">
        <f t="shared" si="28"/>
        <v>0</v>
      </c>
      <c r="Z140" s="4">
        <f t="shared" si="28"/>
        <v>0</v>
      </c>
      <c r="AA140" s="4">
        <f t="shared" si="28"/>
        <v>0</v>
      </c>
      <c r="AB140" s="4">
        <f t="shared" si="28"/>
        <v>0</v>
      </c>
    </row>
    <row r="141" spans="1:28" x14ac:dyDescent="0.25">
      <c r="A141" s="7">
        <f>'Class Schedule Analysis'!A140</f>
        <v>138</v>
      </c>
      <c r="B141" s="7">
        <f>'Class Schedule Analysis'!C140</f>
        <v>7</v>
      </c>
      <c r="C141" s="29" t="str">
        <f>'Class Schedule Analysis'!J140</f>
        <v>WEST 106 (New)</v>
      </c>
      <c r="D141" s="7" t="str">
        <f>'Class Schedule Analysis'!M140</f>
        <v>Hybrid</v>
      </c>
      <c r="E141" s="30">
        <f>'Class Schedule Analysis'!P140</f>
        <v>46152</v>
      </c>
      <c r="F141" s="30">
        <f>'Class Schedule Analysis'!Q140</f>
        <v>46305</v>
      </c>
      <c r="G141" s="7">
        <f t="shared" si="27"/>
        <v>0</v>
      </c>
      <c r="H141" s="7">
        <f t="shared" si="27"/>
        <v>0</v>
      </c>
      <c r="I141" s="7">
        <f t="shared" si="27"/>
        <v>0</v>
      </c>
      <c r="J141" s="7">
        <f t="shared" si="27"/>
        <v>0</v>
      </c>
      <c r="K141" s="7">
        <f t="shared" si="27"/>
        <v>0</v>
      </c>
      <c r="L141" s="7">
        <f t="shared" si="27"/>
        <v>0</v>
      </c>
      <c r="M141" s="7">
        <f t="shared" si="27"/>
        <v>4</v>
      </c>
      <c r="N141" s="7">
        <f t="shared" si="27"/>
        <v>4</v>
      </c>
      <c r="O141" s="7">
        <f t="shared" si="27"/>
        <v>4</v>
      </c>
      <c r="P141" s="7">
        <f t="shared" si="27"/>
        <v>5</v>
      </c>
      <c r="Q141" s="7">
        <f t="shared" si="28"/>
        <v>4</v>
      </c>
      <c r="R141" s="7">
        <f t="shared" si="28"/>
        <v>1</v>
      </c>
      <c r="S141" s="7">
        <f t="shared" si="28"/>
        <v>0</v>
      </c>
      <c r="T141" s="7">
        <f t="shared" si="28"/>
        <v>0</v>
      </c>
      <c r="U141" s="7">
        <f t="shared" si="28"/>
        <v>0</v>
      </c>
      <c r="V141" s="7">
        <f t="shared" si="28"/>
        <v>0</v>
      </c>
      <c r="W141" s="7">
        <f t="shared" si="28"/>
        <v>0</v>
      </c>
      <c r="X141" s="7">
        <f t="shared" si="28"/>
        <v>0</v>
      </c>
      <c r="Y141" s="7">
        <f t="shared" si="28"/>
        <v>0</v>
      </c>
      <c r="Z141" s="7">
        <f t="shared" si="28"/>
        <v>0</v>
      </c>
      <c r="AA141" s="7">
        <f t="shared" si="28"/>
        <v>0</v>
      </c>
      <c r="AB141" s="7">
        <f t="shared" si="28"/>
        <v>0</v>
      </c>
    </row>
    <row r="142" spans="1:28" x14ac:dyDescent="0.25">
      <c r="A142" s="4">
        <f>'Class Schedule Analysis'!A141</f>
        <v>139</v>
      </c>
      <c r="B142" s="4">
        <f>'Class Schedule Analysis'!C141</f>
        <v>7</v>
      </c>
      <c r="C142" s="23" t="str">
        <f>'Class Schedule Analysis'!J141</f>
        <v>AUDITORIUM</v>
      </c>
      <c r="D142" s="4" t="str">
        <f>'Class Schedule Analysis'!M141</f>
        <v>Hybrid</v>
      </c>
      <c r="E142" s="28">
        <f>'Class Schedule Analysis'!P141</f>
        <v>46117</v>
      </c>
      <c r="F142" s="28">
        <f>'Class Schedule Analysis'!Q141</f>
        <v>46285</v>
      </c>
      <c r="G142" s="4">
        <f t="shared" si="27"/>
        <v>0</v>
      </c>
      <c r="H142" s="4">
        <f t="shared" si="27"/>
        <v>0</v>
      </c>
      <c r="I142" s="4">
        <f t="shared" si="27"/>
        <v>0</v>
      </c>
      <c r="J142" s="4">
        <f t="shared" si="27"/>
        <v>0</v>
      </c>
      <c r="K142" s="4">
        <f t="shared" si="27"/>
        <v>0</v>
      </c>
      <c r="L142" s="4">
        <f t="shared" si="27"/>
        <v>4</v>
      </c>
      <c r="M142" s="4">
        <f t="shared" si="27"/>
        <v>5</v>
      </c>
      <c r="N142" s="4">
        <f t="shared" si="27"/>
        <v>4</v>
      </c>
      <c r="O142" s="4">
        <f t="shared" si="27"/>
        <v>4</v>
      </c>
      <c r="P142" s="4">
        <f t="shared" si="27"/>
        <v>5</v>
      </c>
      <c r="Q142" s="4">
        <f t="shared" si="28"/>
        <v>3</v>
      </c>
      <c r="R142" s="4">
        <f t="shared" si="28"/>
        <v>0</v>
      </c>
      <c r="S142" s="4">
        <f t="shared" si="28"/>
        <v>0</v>
      </c>
      <c r="T142" s="4">
        <f t="shared" si="28"/>
        <v>0</v>
      </c>
      <c r="U142" s="4">
        <f t="shared" si="28"/>
        <v>0</v>
      </c>
      <c r="V142" s="4">
        <f t="shared" si="28"/>
        <v>0</v>
      </c>
      <c r="W142" s="4">
        <f t="shared" si="28"/>
        <v>0</v>
      </c>
      <c r="X142" s="4">
        <f t="shared" si="28"/>
        <v>0</v>
      </c>
      <c r="Y142" s="4">
        <f t="shared" si="28"/>
        <v>0</v>
      </c>
      <c r="Z142" s="4">
        <f t="shared" si="28"/>
        <v>0</v>
      </c>
      <c r="AA142" s="4">
        <f t="shared" si="28"/>
        <v>0</v>
      </c>
      <c r="AB142" s="4">
        <f t="shared" si="28"/>
        <v>0</v>
      </c>
    </row>
    <row r="143" spans="1:28" x14ac:dyDescent="0.25">
      <c r="A143" s="7">
        <f>'Class Schedule Analysis'!A142</f>
        <v>140</v>
      </c>
      <c r="B143" s="7">
        <f>'Class Schedule Analysis'!C142</f>
        <v>7</v>
      </c>
      <c r="C143" s="29" t="str">
        <f>'Class Schedule Analysis'!J142</f>
        <v>MAIN BOARD ROOM</v>
      </c>
      <c r="D143" s="7" t="str">
        <f>'Class Schedule Analysis'!M142</f>
        <v>Physical</v>
      </c>
      <c r="E143" s="30">
        <f>'Class Schedule Analysis'!P142</f>
        <v>46117</v>
      </c>
      <c r="F143" s="30">
        <f>'Class Schedule Analysis'!Q142</f>
        <v>46285</v>
      </c>
      <c r="G143" s="7">
        <f t="shared" si="27"/>
        <v>0</v>
      </c>
      <c r="H143" s="7">
        <f t="shared" si="27"/>
        <v>0</v>
      </c>
      <c r="I143" s="7">
        <f t="shared" si="27"/>
        <v>0</v>
      </c>
      <c r="J143" s="7">
        <f t="shared" si="27"/>
        <v>0</v>
      </c>
      <c r="K143" s="7">
        <f t="shared" si="27"/>
        <v>0</v>
      </c>
      <c r="L143" s="7">
        <f t="shared" si="27"/>
        <v>4</v>
      </c>
      <c r="M143" s="7">
        <f t="shared" si="27"/>
        <v>5</v>
      </c>
      <c r="N143" s="7">
        <f t="shared" si="27"/>
        <v>4</v>
      </c>
      <c r="O143" s="7">
        <f t="shared" si="27"/>
        <v>4</v>
      </c>
      <c r="P143" s="7">
        <f t="shared" si="27"/>
        <v>5</v>
      </c>
      <c r="Q143" s="7">
        <f t="shared" si="28"/>
        <v>3</v>
      </c>
      <c r="R143" s="7">
        <f t="shared" si="28"/>
        <v>0</v>
      </c>
      <c r="S143" s="7">
        <f t="shared" si="28"/>
        <v>0</v>
      </c>
      <c r="T143" s="7">
        <f t="shared" si="28"/>
        <v>0</v>
      </c>
      <c r="U143" s="7">
        <f t="shared" si="28"/>
        <v>0</v>
      </c>
      <c r="V143" s="7">
        <f t="shared" si="28"/>
        <v>0</v>
      </c>
      <c r="W143" s="7">
        <f t="shared" si="28"/>
        <v>0</v>
      </c>
      <c r="X143" s="7">
        <f t="shared" si="28"/>
        <v>0</v>
      </c>
      <c r="Y143" s="7">
        <f t="shared" si="28"/>
        <v>0</v>
      </c>
      <c r="Z143" s="7">
        <f t="shared" si="28"/>
        <v>0</v>
      </c>
      <c r="AA143" s="7">
        <f t="shared" si="28"/>
        <v>0</v>
      </c>
      <c r="AB143" s="7">
        <f t="shared" si="28"/>
        <v>0</v>
      </c>
    </row>
    <row r="144" spans="1:28" x14ac:dyDescent="0.25">
      <c r="A144" s="4">
        <f>'Class Schedule Analysis'!A143</f>
        <v>141</v>
      </c>
      <c r="B144" s="4">
        <f>'Class Schedule Analysis'!C143</f>
        <v>7</v>
      </c>
      <c r="C144" s="23" t="str">
        <f>'Class Schedule Analysis'!J143</f>
        <v>WEST 103</v>
      </c>
      <c r="D144" s="4" t="str">
        <f>'Class Schedule Analysis'!M143</f>
        <v>Physical</v>
      </c>
      <c r="E144" s="28">
        <f>'Class Schedule Analysis'!P143</f>
        <v>46117</v>
      </c>
      <c r="F144" s="28">
        <f>'Class Schedule Analysis'!Q143</f>
        <v>46322</v>
      </c>
      <c r="G144" s="4">
        <f t="shared" ref="G144:P153" si="29">IF(OR($E144="",$F144=""),0,IF(MAX($E144,G$2)&gt;MIN($F144,G$3),0,INT((MIN($F144,G$3)-(MAX($E144,G$2)+MOD($B144-WEEKDAY(MAX($E144,G$2),2),7)))/7)+1))</f>
        <v>0</v>
      </c>
      <c r="H144" s="4">
        <f t="shared" si="29"/>
        <v>0</v>
      </c>
      <c r="I144" s="4">
        <f t="shared" si="29"/>
        <v>0</v>
      </c>
      <c r="J144" s="4">
        <f t="shared" si="29"/>
        <v>0</v>
      </c>
      <c r="K144" s="4">
        <f t="shared" si="29"/>
        <v>0</v>
      </c>
      <c r="L144" s="4">
        <f t="shared" si="29"/>
        <v>4</v>
      </c>
      <c r="M144" s="4">
        <f t="shared" si="29"/>
        <v>5</v>
      </c>
      <c r="N144" s="4">
        <f t="shared" si="29"/>
        <v>4</v>
      </c>
      <c r="O144" s="4">
        <f t="shared" si="29"/>
        <v>4</v>
      </c>
      <c r="P144" s="4">
        <f t="shared" si="29"/>
        <v>5</v>
      </c>
      <c r="Q144" s="4">
        <f t="shared" ref="Q144:AB153" si="30">IF(OR($E144="",$F144=""),0,IF(MAX($E144,Q$2)&gt;MIN($F144,Q$3),0,INT((MIN($F144,Q$3)-(MAX($E144,Q$2)+MOD($B144-WEEKDAY(MAX($E144,Q$2),2),7)))/7)+1))</f>
        <v>4</v>
      </c>
      <c r="R144" s="4">
        <f t="shared" si="30"/>
        <v>4</v>
      </c>
      <c r="S144" s="4">
        <f t="shared" si="30"/>
        <v>0</v>
      </c>
      <c r="T144" s="4">
        <f t="shared" si="30"/>
        <v>0</v>
      </c>
      <c r="U144" s="4">
        <f t="shared" si="30"/>
        <v>0</v>
      </c>
      <c r="V144" s="4">
        <f t="shared" si="30"/>
        <v>0</v>
      </c>
      <c r="W144" s="4">
        <f t="shared" si="30"/>
        <v>0</v>
      </c>
      <c r="X144" s="4">
        <f t="shared" si="30"/>
        <v>0</v>
      </c>
      <c r="Y144" s="4">
        <f t="shared" si="30"/>
        <v>0</v>
      </c>
      <c r="Z144" s="4">
        <f t="shared" si="30"/>
        <v>0</v>
      </c>
      <c r="AA144" s="4">
        <f t="shared" si="30"/>
        <v>0</v>
      </c>
      <c r="AB144" s="4">
        <f t="shared" si="30"/>
        <v>0</v>
      </c>
    </row>
    <row r="145" spans="1:28" x14ac:dyDescent="0.25">
      <c r="A145" s="7">
        <f>'Class Schedule Analysis'!A144</f>
        <v>142</v>
      </c>
      <c r="B145" s="7">
        <f>'Class Schedule Analysis'!C144</f>
        <v>7</v>
      </c>
      <c r="C145" s="29" t="str">
        <f>'Class Schedule Analysis'!J144</f>
        <v>WEST 103</v>
      </c>
      <c r="D145" s="7" t="str">
        <f>'Class Schedule Analysis'!M144</f>
        <v>Physical</v>
      </c>
      <c r="E145" s="30">
        <f>'Class Schedule Analysis'!P144</f>
        <v>46117</v>
      </c>
      <c r="F145" s="30">
        <f>'Class Schedule Analysis'!Q144</f>
        <v>46322</v>
      </c>
      <c r="G145" s="7">
        <f t="shared" si="29"/>
        <v>0</v>
      </c>
      <c r="H145" s="7">
        <f t="shared" si="29"/>
        <v>0</v>
      </c>
      <c r="I145" s="7">
        <f t="shared" si="29"/>
        <v>0</v>
      </c>
      <c r="J145" s="7">
        <f t="shared" si="29"/>
        <v>0</v>
      </c>
      <c r="K145" s="7">
        <f t="shared" si="29"/>
        <v>0</v>
      </c>
      <c r="L145" s="7">
        <f t="shared" si="29"/>
        <v>4</v>
      </c>
      <c r="M145" s="7">
        <f t="shared" si="29"/>
        <v>5</v>
      </c>
      <c r="N145" s="7">
        <f t="shared" si="29"/>
        <v>4</v>
      </c>
      <c r="O145" s="7">
        <f t="shared" si="29"/>
        <v>4</v>
      </c>
      <c r="P145" s="7">
        <f t="shared" si="29"/>
        <v>5</v>
      </c>
      <c r="Q145" s="7">
        <f t="shared" si="30"/>
        <v>4</v>
      </c>
      <c r="R145" s="7">
        <f t="shared" si="30"/>
        <v>4</v>
      </c>
      <c r="S145" s="7">
        <f t="shared" si="30"/>
        <v>0</v>
      </c>
      <c r="T145" s="7">
        <f t="shared" si="30"/>
        <v>0</v>
      </c>
      <c r="U145" s="7">
        <f t="shared" si="30"/>
        <v>0</v>
      </c>
      <c r="V145" s="7">
        <f t="shared" si="30"/>
        <v>0</v>
      </c>
      <c r="W145" s="7">
        <f t="shared" si="30"/>
        <v>0</v>
      </c>
      <c r="X145" s="7">
        <f t="shared" si="30"/>
        <v>0</v>
      </c>
      <c r="Y145" s="7">
        <f t="shared" si="30"/>
        <v>0</v>
      </c>
      <c r="Z145" s="7">
        <f t="shared" si="30"/>
        <v>0</v>
      </c>
      <c r="AA145" s="7">
        <f t="shared" si="30"/>
        <v>0</v>
      </c>
      <c r="AB145" s="7">
        <f t="shared" si="30"/>
        <v>0</v>
      </c>
    </row>
    <row r="146" spans="1:28" x14ac:dyDescent="0.25">
      <c r="A146" s="4">
        <f>'Class Schedule Analysis'!A145</f>
        <v>143</v>
      </c>
      <c r="B146" s="4">
        <f>'Class Schedule Analysis'!C145</f>
        <v>7</v>
      </c>
      <c r="C146" s="23" t="str">
        <f>'Class Schedule Analysis'!J145</f>
        <v>WEST 104</v>
      </c>
      <c r="D146" s="4" t="str">
        <f>'Class Schedule Analysis'!M145</f>
        <v>Physical</v>
      </c>
      <c r="E146" s="28">
        <f>'Class Schedule Analysis'!P145</f>
        <v>0</v>
      </c>
      <c r="F146" s="28">
        <f>'Class Schedule Analysis'!Q145</f>
        <v>0</v>
      </c>
      <c r="G146" s="4">
        <f t="shared" si="29"/>
        <v>0</v>
      </c>
      <c r="H146" s="4">
        <f t="shared" si="29"/>
        <v>0</v>
      </c>
      <c r="I146" s="4">
        <f t="shared" si="29"/>
        <v>0</v>
      </c>
      <c r="J146" s="4">
        <f t="shared" si="29"/>
        <v>0</v>
      </c>
      <c r="K146" s="4">
        <f t="shared" si="29"/>
        <v>0</v>
      </c>
      <c r="L146" s="4">
        <f t="shared" si="29"/>
        <v>0</v>
      </c>
      <c r="M146" s="4">
        <f t="shared" si="29"/>
        <v>0</v>
      </c>
      <c r="N146" s="4">
        <f t="shared" si="29"/>
        <v>0</v>
      </c>
      <c r="O146" s="4">
        <f t="shared" si="29"/>
        <v>0</v>
      </c>
      <c r="P146" s="4">
        <f t="shared" si="29"/>
        <v>0</v>
      </c>
      <c r="Q146" s="4">
        <f t="shared" si="30"/>
        <v>0</v>
      </c>
      <c r="R146" s="4">
        <f t="shared" si="30"/>
        <v>0</v>
      </c>
      <c r="S146" s="4">
        <f t="shared" si="30"/>
        <v>0</v>
      </c>
      <c r="T146" s="4">
        <f t="shared" si="30"/>
        <v>0</v>
      </c>
      <c r="U146" s="4">
        <f t="shared" si="30"/>
        <v>0</v>
      </c>
      <c r="V146" s="4">
        <f t="shared" si="30"/>
        <v>0</v>
      </c>
      <c r="W146" s="4">
        <f t="shared" si="30"/>
        <v>0</v>
      </c>
      <c r="X146" s="4">
        <f t="shared" si="30"/>
        <v>0</v>
      </c>
      <c r="Y146" s="4">
        <f t="shared" si="30"/>
        <v>0</v>
      </c>
      <c r="Z146" s="4">
        <f t="shared" si="30"/>
        <v>0</v>
      </c>
      <c r="AA146" s="4">
        <f t="shared" si="30"/>
        <v>0</v>
      </c>
      <c r="AB146" s="4">
        <f t="shared" si="30"/>
        <v>0</v>
      </c>
    </row>
    <row r="147" spans="1:28" x14ac:dyDescent="0.25">
      <c r="A147" s="7">
        <f>'Class Schedule Analysis'!A146</f>
        <v>144</v>
      </c>
      <c r="B147" s="7">
        <f>'Class Schedule Analysis'!C146</f>
        <v>7</v>
      </c>
      <c r="C147" s="29" t="str">
        <f>'Class Schedule Analysis'!J146</f>
        <v>WEST 104</v>
      </c>
      <c r="D147" s="7" t="str">
        <f>'Class Schedule Analysis'!M146</f>
        <v>Physical</v>
      </c>
      <c r="E147" s="30">
        <f>'Class Schedule Analysis'!P146</f>
        <v>0</v>
      </c>
      <c r="F147" s="30">
        <f>'Class Schedule Analysis'!Q146</f>
        <v>0</v>
      </c>
      <c r="G147" s="7">
        <f t="shared" si="29"/>
        <v>0</v>
      </c>
      <c r="H147" s="7">
        <f t="shared" si="29"/>
        <v>0</v>
      </c>
      <c r="I147" s="7">
        <f t="shared" si="29"/>
        <v>0</v>
      </c>
      <c r="J147" s="7">
        <f t="shared" si="29"/>
        <v>0</v>
      </c>
      <c r="K147" s="7">
        <f t="shared" si="29"/>
        <v>0</v>
      </c>
      <c r="L147" s="7">
        <f t="shared" si="29"/>
        <v>0</v>
      </c>
      <c r="M147" s="7">
        <f t="shared" si="29"/>
        <v>0</v>
      </c>
      <c r="N147" s="7">
        <f t="shared" si="29"/>
        <v>0</v>
      </c>
      <c r="O147" s="7">
        <f t="shared" si="29"/>
        <v>0</v>
      </c>
      <c r="P147" s="7">
        <f t="shared" si="29"/>
        <v>0</v>
      </c>
      <c r="Q147" s="7">
        <f t="shared" si="30"/>
        <v>0</v>
      </c>
      <c r="R147" s="7">
        <f t="shared" si="30"/>
        <v>0</v>
      </c>
      <c r="S147" s="7">
        <f t="shared" si="30"/>
        <v>0</v>
      </c>
      <c r="T147" s="7">
        <f t="shared" si="30"/>
        <v>0</v>
      </c>
      <c r="U147" s="7">
        <f t="shared" si="30"/>
        <v>0</v>
      </c>
      <c r="V147" s="7">
        <f t="shared" si="30"/>
        <v>0</v>
      </c>
      <c r="W147" s="7">
        <f t="shared" si="30"/>
        <v>0</v>
      </c>
      <c r="X147" s="7">
        <f t="shared" si="30"/>
        <v>0</v>
      </c>
      <c r="Y147" s="7">
        <f t="shared" si="30"/>
        <v>0</v>
      </c>
      <c r="Z147" s="7">
        <f t="shared" si="30"/>
        <v>0</v>
      </c>
      <c r="AA147" s="7">
        <f t="shared" si="30"/>
        <v>0</v>
      </c>
      <c r="AB147" s="7">
        <f t="shared" si="30"/>
        <v>0</v>
      </c>
    </row>
    <row r="148" spans="1:28" x14ac:dyDescent="0.25">
      <c r="A148" s="4">
        <f>'Class Schedule Analysis'!A147</f>
        <v>145</v>
      </c>
      <c r="B148" s="4">
        <f>'Class Schedule Analysis'!C147</f>
        <v>7</v>
      </c>
      <c r="C148" s="23" t="str">
        <f>'Class Schedule Analysis'!J147</f>
        <v>WEST 105</v>
      </c>
      <c r="D148" s="4" t="str">
        <f>'Class Schedule Analysis'!M147</f>
        <v>Physical</v>
      </c>
      <c r="E148" s="28">
        <f>'Class Schedule Analysis'!P147</f>
        <v>46117</v>
      </c>
      <c r="F148" s="28">
        <f>'Class Schedule Analysis'!Q147</f>
        <v>46250</v>
      </c>
      <c r="G148" s="4">
        <f t="shared" si="29"/>
        <v>0</v>
      </c>
      <c r="H148" s="4">
        <f t="shared" si="29"/>
        <v>0</v>
      </c>
      <c r="I148" s="4">
        <f t="shared" si="29"/>
        <v>0</v>
      </c>
      <c r="J148" s="4">
        <f t="shared" si="29"/>
        <v>0</v>
      </c>
      <c r="K148" s="4">
        <f t="shared" si="29"/>
        <v>0</v>
      </c>
      <c r="L148" s="4">
        <f t="shared" si="29"/>
        <v>4</v>
      </c>
      <c r="M148" s="4">
        <f t="shared" si="29"/>
        <v>5</v>
      </c>
      <c r="N148" s="4">
        <f t="shared" si="29"/>
        <v>4</v>
      </c>
      <c r="O148" s="4">
        <f t="shared" si="29"/>
        <v>4</v>
      </c>
      <c r="P148" s="4">
        <f t="shared" si="29"/>
        <v>3</v>
      </c>
      <c r="Q148" s="4">
        <f t="shared" si="30"/>
        <v>0</v>
      </c>
      <c r="R148" s="4">
        <f t="shared" si="30"/>
        <v>0</v>
      </c>
      <c r="S148" s="4">
        <f t="shared" si="30"/>
        <v>0</v>
      </c>
      <c r="T148" s="4">
        <f t="shared" si="30"/>
        <v>0</v>
      </c>
      <c r="U148" s="4">
        <f t="shared" si="30"/>
        <v>0</v>
      </c>
      <c r="V148" s="4">
        <f t="shared" si="30"/>
        <v>0</v>
      </c>
      <c r="W148" s="4">
        <f t="shared" si="30"/>
        <v>0</v>
      </c>
      <c r="X148" s="4">
        <f t="shared" si="30"/>
        <v>0</v>
      </c>
      <c r="Y148" s="4">
        <f t="shared" si="30"/>
        <v>0</v>
      </c>
      <c r="Z148" s="4">
        <f t="shared" si="30"/>
        <v>0</v>
      </c>
      <c r="AA148" s="4">
        <f t="shared" si="30"/>
        <v>0</v>
      </c>
      <c r="AB148" s="4">
        <f t="shared" si="30"/>
        <v>0</v>
      </c>
    </row>
    <row r="149" spans="1:28" x14ac:dyDescent="0.25">
      <c r="A149" s="7">
        <f>'Class Schedule Analysis'!A148</f>
        <v>146</v>
      </c>
      <c r="B149" s="7">
        <f>'Class Schedule Analysis'!C148</f>
        <v>7</v>
      </c>
      <c r="C149" s="29" t="str">
        <f>'Class Schedule Analysis'!J148</f>
        <v>WEST 105</v>
      </c>
      <c r="D149" s="7" t="str">
        <f>'Class Schedule Analysis'!M148</f>
        <v>Physical</v>
      </c>
      <c r="E149" s="30">
        <f>'Class Schedule Analysis'!P148</f>
        <v>0</v>
      </c>
      <c r="F149" s="30">
        <f>'Class Schedule Analysis'!Q148</f>
        <v>0</v>
      </c>
      <c r="G149" s="7">
        <f t="shared" si="29"/>
        <v>0</v>
      </c>
      <c r="H149" s="7">
        <f t="shared" si="29"/>
        <v>0</v>
      </c>
      <c r="I149" s="7">
        <f t="shared" si="29"/>
        <v>0</v>
      </c>
      <c r="J149" s="7">
        <f t="shared" si="29"/>
        <v>0</v>
      </c>
      <c r="K149" s="7">
        <f t="shared" si="29"/>
        <v>0</v>
      </c>
      <c r="L149" s="7">
        <f t="shared" si="29"/>
        <v>0</v>
      </c>
      <c r="M149" s="7">
        <f t="shared" si="29"/>
        <v>0</v>
      </c>
      <c r="N149" s="7">
        <f t="shared" si="29"/>
        <v>0</v>
      </c>
      <c r="O149" s="7">
        <f t="shared" si="29"/>
        <v>0</v>
      </c>
      <c r="P149" s="7">
        <f t="shared" si="29"/>
        <v>0</v>
      </c>
      <c r="Q149" s="7">
        <f t="shared" si="30"/>
        <v>0</v>
      </c>
      <c r="R149" s="7">
        <f t="shared" si="30"/>
        <v>0</v>
      </c>
      <c r="S149" s="7">
        <f t="shared" si="30"/>
        <v>0</v>
      </c>
      <c r="T149" s="7">
        <f t="shared" si="30"/>
        <v>0</v>
      </c>
      <c r="U149" s="7">
        <f t="shared" si="30"/>
        <v>0</v>
      </c>
      <c r="V149" s="7">
        <f t="shared" si="30"/>
        <v>0</v>
      </c>
      <c r="W149" s="7">
        <f t="shared" si="30"/>
        <v>0</v>
      </c>
      <c r="X149" s="7">
        <f t="shared" si="30"/>
        <v>0</v>
      </c>
      <c r="Y149" s="7">
        <f t="shared" si="30"/>
        <v>0</v>
      </c>
      <c r="Z149" s="7">
        <f t="shared" si="30"/>
        <v>0</v>
      </c>
      <c r="AA149" s="7">
        <f t="shared" si="30"/>
        <v>0</v>
      </c>
      <c r="AB149" s="7">
        <f t="shared" si="30"/>
        <v>0</v>
      </c>
    </row>
    <row r="150" spans="1:28" x14ac:dyDescent="0.25">
      <c r="A150" s="4">
        <f>'Class Schedule Analysis'!A149</f>
        <v>147</v>
      </c>
      <c r="B150" s="4">
        <f>'Class Schedule Analysis'!C149</f>
        <v>7</v>
      </c>
      <c r="C150" s="23" t="str">
        <f>'Class Schedule Analysis'!J149</f>
        <v>WEST 108 (New)</v>
      </c>
      <c r="D150" s="4" t="str">
        <f>'Class Schedule Analysis'!M149</f>
        <v>Physical</v>
      </c>
      <c r="E150" s="28">
        <f>'Class Schedule Analysis'!P149</f>
        <v>0</v>
      </c>
      <c r="F150" s="28">
        <f>'Class Schedule Analysis'!Q149</f>
        <v>0</v>
      </c>
      <c r="G150" s="4">
        <f t="shared" si="29"/>
        <v>0</v>
      </c>
      <c r="H150" s="4">
        <f t="shared" si="29"/>
        <v>0</v>
      </c>
      <c r="I150" s="4">
        <f t="shared" si="29"/>
        <v>0</v>
      </c>
      <c r="J150" s="4">
        <f t="shared" si="29"/>
        <v>0</v>
      </c>
      <c r="K150" s="4">
        <f t="shared" si="29"/>
        <v>0</v>
      </c>
      <c r="L150" s="4">
        <f t="shared" si="29"/>
        <v>0</v>
      </c>
      <c r="M150" s="4">
        <f t="shared" si="29"/>
        <v>0</v>
      </c>
      <c r="N150" s="4">
        <f t="shared" si="29"/>
        <v>0</v>
      </c>
      <c r="O150" s="4">
        <f t="shared" si="29"/>
        <v>0</v>
      </c>
      <c r="P150" s="4">
        <f t="shared" si="29"/>
        <v>0</v>
      </c>
      <c r="Q150" s="4">
        <f t="shared" si="30"/>
        <v>0</v>
      </c>
      <c r="R150" s="4">
        <f t="shared" si="30"/>
        <v>0</v>
      </c>
      <c r="S150" s="4">
        <f t="shared" si="30"/>
        <v>0</v>
      </c>
      <c r="T150" s="4">
        <f t="shared" si="30"/>
        <v>0</v>
      </c>
      <c r="U150" s="4">
        <f t="shared" si="30"/>
        <v>0</v>
      </c>
      <c r="V150" s="4">
        <f t="shared" si="30"/>
        <v>0</v>
      </c>
      <c r="W150" s="4">
        <f t="shared" si="30"/>
        <v>0</v>
      </c>
      <c r="X150" s="4">
        <f t="shared" si="30"/>
        <v>0</v>
      </c>
      <c r="Y150" s="4">
        <f t="shared" si="30"/>
        <v>0</v>
      </c>
      <c r="Z150" s="4">
        <f t="shared" si="30"/>
        <v>0</v>
      </c>
      <c r="AA150" s="4">
        <f t="shared" si="30"/>
        <v>0</v>
      </c>
      <c r="AB150" s="4">
        <f t="shared" si="30"/>
        <v>0</v>
      </c>
    </row>
    <row r="151" spans="1:28" x14ac:dyDescent="0.25">
      <c r="A151" s="7">
        <f>'Class Schedule Analysis'!A150</f>
        <v>148</v>
      </c>
      <c r="B151" s="7">
        <f>'Class Schedule Analysis'!C150</f>
        <v>7</v>
      </c>
      <c r="C151" s="29" t="str">
        <f>'Class Schedule Analysis'!J150</f>
        <v>WEST 108 (New)</v>
      </c>
      <c r="D151" s="7" t="str">
        <f>'Class Schedule Analysis'!M150</f>
        <v>Physical</v>
      </c>
      <c r="E151" s="30">
        <f>'Class Schedule Analysis'!P150</f>
        <v>0</v>
      </c>
      <c r="F151" s="30">
        <f>'Class Schedule Analysis'!Q150</f>
        <v>0</v>
      </c>
      <c r="G151" s="7">
        <f t="shared" si="29"/>
        <v>0</v>
      </c>
      <c r="H151" s="7">
        <f t="shared" si="29"/>
        <v>0</v>
      </c>
      <c r="I151" s="7">
        <f t="shared" si="29"/>
        <v>0</v>
      </c>
      <c r="J151" s="7">
        <f t="shared" si="29"/>
        <v>0</v>
      </c>
      <c r="K151" s="7">
        <f t="shared" si="29"/>
        <v>0</v>
      </c>
      <c r="L151" s="7">
        <f t="shared" si="29"/>
        <v>0</v>
      </c>
      <c r="M151" s="7">
        <f t="shared" si="29"/>
        <v>0</v>
      </c>
      <c r="N151" s="7">
        <f t="shared" si="29"/>
        <v>0</v>
      </c>
      <c r="O151" s="7">
        <f t="shared" si="29"/>
        <v>0</v>
      </c>
      <c r="P151" s="7">
        <f t="shared" si="29"/>
        <v>0</v>
      </c>
      <c r="Q151" s="7">
        <f t="shared" si="30"/>
        <v>0</v>
      </c>
      <c r="R151" s="7">
        <f t="shared" si="30"/>
        <v>0</v>
      </c>
      <c r="S151" s="7">
        <f t="shared" si="30"/>
        <v>0</v>
      </c>
      <c r="T151" s="7">
        <f t="shared" si="30"/>
        <v>0</v>
      </c>
      <c r="U151" s="7">
        <f t="shared" si="30"/>
        <v>0</v>
      </c>
      <c r="V151" s="7">
        <f t="shared" si="30"/>
        <v>0</v>
      </c>
      <c r="W151" s="7">
        <f t="shared" si="30"/>
        <v>0</v>
      </c>
      <c r="X151" s="7">
        <f t="shared" si="30"/>
        <v>0</v>
      </c>
      <c r="Y151" s="7">
        <f t="shared" si="30"/>
        <v>0</v>
      </c>
      <c r="Z151" s="7">
        <f t="shared" si="30"/>
        <v>0</v>
      </c>
      <c r="AA151" s="7">
        <f t="shared" si="30"/>
        <v>0</v>
      </c>
      <c r="AB151" s="7">
        <f t="shared" si="30"/>
        <v>0</v>
      </c>
    </row>
    <row r="152" spans="1:28" x14ac:dyDescent="0.25">
      <c r="A152" s="4">
        <f>'Class Schedule Analysis'!A151</f>
        <v>149</v>
      </c>
      <c r="B152" s="4">
        <f>'Class Schedule Analysis'!C151</f>
        <v>7</v>
      </c>
      <c r="C152" s="23" t="str">
        <f>'Class Schedule Analysis'!J151</f>
        <v>WEST 002</v>
      </c>
      <c r="D152" s="4" t="str">
        <f>'Class Schedule Analysis'!M151</f>
        <v>Physical</v>
      </c>
      <c r="E152" s="28">
        <f>'Class Schedule Analysis'!P151</f>
        <v>46117</v>
      </c>
      <c r="F152" s="28">
        <f>'Class Schedule Analysis'!Q151</f>
        <v>46369</v>
      </c>
      <c r="G152" s="4">
        <f t="shared" si="29"/>
        <v>0</v>
      </c>
      <c r="H152" s="4">
        <f t="shared" si="29"/>
        <v>0</v>
      </c>
      <c r="I152" s="4">
        <f t="shared" si="29"/>
        <v>0</v>
      </c>
      <c r="J152" s="4">
        <f t="shared" si="29"/>
        <v>0</v>
      </c>
      <c r="K152" s="4">
        <f t="shared" si="29"/>
        <v>0</v>
      </c>
      <c r="L152" s="4">
        <f t="shared" si="29"/>
        <v>4</v>
      </c>
      <c r="M152" s="4">
        <f t="shared" si="29"/>
        <v>5</v>
      </c>
      <c r="N152" s="4">
        <f t="shared" si="29"/>
        <v>4</v>
      </c>
      <c r="O152" s="4">
        <f t="shared" si="29"/>
        <v>4</v>
      </c>
      <c r="P152" s="4">
        <f t="shared" si="29"/>
        <v>5</v>
      </c>
      <c r="Q152" s="4">
        <f t="shared" si="30"/>
        <v>4</v>
      </c>
      <c r="R152" s="4">
        <f t="shared" si="30"/>
        <v>4</v>
      </c>
      <c r="S152" s="4">
        <f t="shared" si="30"/>
        <v>5</v>
      </c>
      <c r="T152" s="4">
        <f t="shared" si="30"/>
        <v>2</v>
      </c>
      <c r="U152" s="4">
        <f t="shared" si="30"/>
        <v>0</v>
      </c>
      <c r="V152" s="4">
        <f t="shared" si="30"/>
        <v>0</v>
      </c>
      <c r="W152" s="4">
        <f t="shared" si="30"/>
        <v>0</v>
      </c>
      <c r="X152" s="4">
        <f t="shared" si="30"/>
        <v>0</v>
      </c>
      <c r="Y152" s="4">
        <f t="shared" si="30"/>
        <v>0</v>
      </c>
      <c r="Z152" s="4">
        <f t="shared" si="30"/>
        <v>0</v>
      </c>
      <c r="AA152" s="4">
        <f t="shared" si="30"/>
        <v>0</v>
      </c>
      <c r="AB152" s="4">
        <f t="shared" si="30"/>
        <v>0</v>
      </c>
    </row>
    <row r="153" spans="1:28" x14ac:dyDescent="0.25">
      <c r="A153" s="7">
        <f>'Class Schedule Analysis'!A152</f>
        <v>150</v>
      </c>
      <c r="B153" s="7">
        <f>'Class Schedule Analysis'!C152</f>
        <v>7</v>
      </c>
      <c r="C153" s="29" t="str">
        <f>'Class Schedule Analysis'!J152</f>
        <v>WEST 002</v>
      </c>
      <c r="D153" s="7" t="str">
        <f>'Class Schedule Analysis'!M152</f>
        <v>Hybrid</v>
      </c>
      <c r="E153" s="30">
        <f>'Class Schedule Analysis'!P152</f>
        <v>46117</v>
      </c>
      <c r="F153" s="30">
        <f>'Class Schedule Analysis'!Q152</f>
        <v>46285</v>
      </c>
      <c r="G153" s="7">
        <f t="shared" si="29"/>
        <v>0</v>
      </c>
      <c r="H153" s="7">
        <f t="shared" si="29"/>
        <v>0</v>
      </c>
      <c r="I153" s="7">
        <f t="shared" si="29"/>
        <v>0</v>
      </c>
      <c r="J153" s="7">
        <f t="shared" si="29"/>
        <v>0</v>
      </c>
      <c r="K153" s="7">
        <f t="shared" si="29"/>
        <v>0</v>
      </c>
      <c r="L153" s="7">
        <f t="shared" si="29"/>
        <v>4</v>
      </c>
      <c r="M153" s="7">
        <f t="shared" si="29"/>
        <v>5</v>
      </c>
      <c r="N153" s="7">
        <f t="shared" si="29"/>
        <v>4</v>
      </c>
      <c r="O153" s="7">
        <f t="shared" si="29"/>
        <v>4</v>
      </c>
      <c r="P153" s="7">
        <f t="shared" si="29"/>
        <v>5</v>
      </c>
      <c r="Q153" s="7">
        <f t="shared" si="30"/>
        <v>3</v>
      </c>
      <c r="R153" s="7">
        <f t="shared" si="30"/>
        <v>0</v>
      </c>
      <c r="S153" s="7">
        <f t="shared" si="30"/>
        <v>0</v>
      </c>
      <c r="T153" s="7">
        <f t="shared" si="30"/>
        <v>0</v>
      </c>
      <c r="U153" s="7">
        <f t="shared" si="30"/>
        <v>0</v>
      </c>
      <c r="V153" s="7">
        <f t="shared" si="30"/>
        <v>0</v>
      </c>
      <c r="W153" s="7">
        <f t="shared" si="30"/>
        <v>0</v>
      </c>
      <c r="X153" s="7">
        <f t="shared" si="30"/>
        <v>0</v>
      </c>
      <c r="Y153" s="7">
        <f t="shared" si="30"/>
        <v>0</v>
      </c>
      <c r="Z153" s="7">
        <f t="shared" si="30"/>
        <v>0</v>
      </c>
      <c r="AA153" s="7">
        <f t="shared" si="30"/>
        <v>0</v>
      </c>
      <c r="AB153" s="7">
        <f t="shared" si="30"/>
        <v>0</v>
      </c>
    </row>
    <row r="154" spans="1:28" x14ac:dyDescent="0.25">
      <c r="A154" s="4">
        <f>'Class Schedule Analysis'!A153</f>
        <v>151</v>
      </c>
      <c r="B154" s="4">
        <f>'Class Schedule Analysis'!C153</f>
        <v>7</v>
      </c>
      <c r="C154" s="23" t="str">
        <f>'Class Schedule Analysis'!J153</f>
        <v>WEST 003</v>
      </c>
      <c r="D154" s="4" t="str">
        <f>'Class Schedule Analysis'!M153</f>
        <v>Physical</v>
      </c>
      <c r="E154" s="28">
        <f>'Class Schedule Analysis'!P153</f>
        <v>46214</v>
      </c>
      <c r="F154" s="28">
        <f>'Class Schedule Analysis'!Q153</f>
        <v>46326</v>
      </c>
      <c r="G154" s="4">
        <f t="shared" ref="G154:P166" si="31">IF(OR($E154="",$F154=""),0,IF(MAX($E154,G$2)&gt;MIN($F154,G$3),0,INT((MIN($F154,G$3)-(MAX($E154,G$2)+MOD($B154-WEEKDAY(MAX($E154,G$2),2),7)))/7)+1))</f>
        <v>0</v>
      </c>
      <c r="H154" s="4">
        <f t="shared" si="31"/>
        <v>0</v>
      </c>
      <c r="I154" s="4">
        <f t="shared" si="31"/>
        <v>0</v>
      </c>
      <c r="J154" s="4">
        <f t="shared" si="31"/>
        <v>0</v>
      </c>
      <c r="K154" s="4">
        <f t="shared" si="31"/>
        <v>0</v>
      </c>
      <c r="L154" s="4">
        <f t="shared" si="31"/>
        <v>0</v>
      </c>
      <c r="M154" s="4">
        <f t="shared" si="31"/>
        <v>0</v>
      </c>
      <c r="N154" s="4">
        <f t="shared" si="31"/>
        <v>0</v>
      </c>
      <c r="O154" s="4">
        <f t="shared" si="31"/>
        <v>3</v>
      </c>
      <c r="P154" s="4">
        <f t="shared" si="31"/>
        <v>5</v>
      </c>
      <c r="Q154" s="4">
        <f t="shared" ref="Q154:AB166" si="32">IF(OR($E154="",$F154=""),0,IF(MAX($E154,Q$2)&gt;MIN($F154,Q$3),0,INT((MIN($F154,Q$3)-(MAX($E154,Q$2)+MOD($B154-WEEKDAY(MAX($E154,Q$2),2),7)))/7)+1))</f>
        <v>4</v>
      </c>
      <c r="R154" s="4">
        <f t="shared" si="32"/>
        <v>4</v>
      </c>
      <c r="S154" s="4">
        <f t="shared" si="32"/>
        <v>0</v>
      </c>
      <c r="T154" s="4">
        <f t="shared" si="32"/>
        <v>0</v>
      </c>
      <c r="U154" s="4">
        <f t="shared" si="32"/>
        <v>0</v>
      </c>
      <c r="V154" s="4">
        <f t="shared" si="32"/>
        <v>0</v>
      </c>
      <c r="W154" s="4">
        <f t="shared" si="32"/>
        <v>0</v>
      </c>
      <c r="X154" s="4">
        <f t="shared" si="32"/>
        <v>0</v>
      </c>
      <c r="Y154" s="4">
        <f t="shared" si="32"/>
        <v>0</v>
      </c>
      <c r="Z154" s="4">
        <f t="shared" si="32"/>
        <v>0</v>
      </c>
      <c r="AA154" s="4">
        <f t="shared" si="32"/>
        <v>0</v>
      </c>
      <c r="AB154" s="4">
        <f t="shared" si="32"/>
        <v>0</v>
      </c>
    </row>
    <row r="155" spans="1:28" x14ac:dyDescent="0.25">
      <c r="A155" s="7">
        <f>'Class Schedule Analysis'!A154</f>
        <v>152</v>
      </c>
      <c r="B155" s="7">
        <f>'Class Schedule Analysis'!C154</f>
        <v>7</v>
      </c>
      <c r="C155" s="29" t="str">
        <f>'Class Schedule Analysis'!J154</f>
        <v>WEST 003</v>
      </c>
      <c r="D155" s="7" t="str">
        <f>'Class Schedule Analysis'!M154</f>
        <v>Physical</v>
      </c>
      <c r="E155" s="30">
        <f>'Class Schedule Analysis'!P154</f>
        <v>0</v>
      </c>
      <c r="F155" s="30">
        <f>'Class Schedule Analysis'!Q154</f>
        <v>0</v>
      </c>
      <c r="G155" s="7">
        <f t="shared" si="31"/>
        <v>0</v>
      </c>
      <c r="H155" s="7">
        <f t="shared" si="31"/>
        <v>0</v>
      </c>
      <c r="I155" s="7">
        <f t="shared" si="31"/>
        <v>0</v>
      </c>
      <c r="J155" s="7">
        <f t="shared" si="31"/>
        <v>0</v>
      </c>
      <c r="K155" s="7">
        <f t="shared" si="31"/>
        <v>0</v>
      </c>
      <c r="L155" s="7">
        <f t="shared" si="31"/>
        <v>0</v>
      </c>
      <c r="M155" s="7">
        <f t="shared" si="31"/>
        <v>0</v>
      </c>
      <c r="N155" s="7">
        <f t="shared" si="31"/>
        <v>0</v>
      </c>
      <c r="O155" s="7">
        <f t="shared" si="31"/>
        <v>0</v>
      </c>
      <c r="P155" s="7">
        <f t="shared" si="31"/>
        <v>0</v>
      </c>
      <c r="Q155" s="7">
        <f t="shared" si="32"/>
        <v>0</v>
      </c>
      <c r="R155" s="7">
        <f t="shared" si="32"/>
        <v>0</v>
      </c>
      <c r="S155" s="7">
        <f t="shared" si="32"/>
        <v>0</v>
      </c>
      <c r="T155" s="7">
        <f t="shared" si="32"/>
        <v>0</v>
      </c>
      <c r="U155" s="7">
        <f t="shared" si="32"/>
        <v>0</v>
      </c>
      <c r="V155" s="7">
        <f t="shared" si="32"/>
        <v>0</v>
      </c>
      <c r="W155" s="7">
        <f t="shared" si="32"/>
        <v>0</v>
      </c>
      <c r="X155" s="7">
        <f t="shared" si="32"/>
        <v>0</v>
      </c>
      <c r="Y155" s="7">
        <f t="shared" si="32"/>
        <v>0</v>
      </c>
      <c r="Z155" s="7">
        <f t="shared" si="32"/>
        <v>0</v>
      </c>
      <c r="AA155" s="7">
        <f t="shared" si="32"/>
        <v>0</v>
      </c>
      <c r="AB155" s="7">
        <f t="shared" si="32"/>
        <v>0</v>
      </c>
    </row>
    <row r="156" spans="1:28" x14ac:dyDescent="0.25">
      <c r="A156" s="4">
        <f>'Class Schedule Analysis'!A155</f>
        <v>153</v>
      </c>
      <c r="B156" s="4">
        <f>'Class Schedule Analysis'!C155</f>
        <v>7</v>
      </c>
      <c r="C156" s="23" t="str">
        <f>'Class Schedule Analysis'!J155</f>
        <v>WEST 004</v>
      </c>
      <c r="D156" s="4" t="str">
        <f>'Class Schedule Analysis'!M155</f>
        <v>Hybrid</v>
      </c>
      <c r="E156" s="28">
        <f>'Class Schedule Analysis'!P155</f>
        <v>0</v>
      </c>
      <c r="F156" s="28">
        <f>'Class Schedule Analysis'!Q155</f>
        <v>0</v>
      </c>
      <c r="G156" s="4">
        <f t="shared" si="31"/>
        <v>0</v>
      </c>
      <c r="H156" s="4">
        <f t="shared" si="31"/>
        <v>0</v>
      </c>
      <c r="I156" s="4">
        <f t="shared" si="31"/>
        <v>0</v>
      </c>
      <c r="J156" s="4">
        <f t="shared" si="31"/>
        <v>0</v>
      </c>
      <c r="K156" s="4">
        <f t="shared" si="31"/>
        <v>0</v>
      </c>
      <c r="L156" s="4">
        <f t="shared" si="31"/>
        <v>0</v>
      </c>
      <c r="M156" s="4">
        <f t="shared" si="31"/>
        <v>0</v>
      </c>
      <c r="N156" s="4">
        <f t="shared" si="31"/>
        <v>0</v>
      </c>
      <c r="O156" s="4">
        <f t="shared" si="31"/>
        <v>0</v>
      </c>
      <c r="P156" s="4">
        <f t="shared" si="31"/>
        <v>0</v>
      </c>
      <c r="Q156" s="4">
        <f t="shared" si="32"/>
        <v>0</v>
      </c>
      <c r="R156" s="4">
        <f t="shared" si="32"/>
        <v>0</v>
      </c>
      <c r="S156" s="4">
        <f t="shared" si="32"/>
        <v>0</v>
      </c>
      <c r="T156" s="4">
        <f t="shared" si="32"/>
        <v>0</v>
      </c>
      <c r="U156" s="4">
        <f t="shared" si="32"/>
        <v>0</v>
      </c>
      <c r="V156" s="4">
        <f t="shared" si="32"/>
        <v>0</v>
      </c>
      <c r="W156" s="4">
        <f t="shared" si="32"/>
        <v>0</v>
      </c>
      <c r="X156" s="4">
        <f t="shared" si="32"/>
        <v>0</v>
      </c>
      <c r="Y156" s="4">
        <f t="shared" si="32"/>
        <v>0</v>
      </c>
      <c r="Z156" s="4">
        <f t="shared" si="32"/>
        <v>0</v>
      </c>
      <c r="AA156" s="4">
        <f t="shared" si="32"/>
        <v>0</v>
      </c>
      <c r="AB156" s="4">
        <f t="shared" si="32"/>
        <v>0</v>
      </c>
    </row>
    <row r="157" spans="1:28" x14ac:dyDescent="0.25">
      <c r="A157" s="7">
        <f>'Class Schedule Analysis'!A156</f>
        <v>154</v>
      </c>
      <c r="B157" s="7">
        <f>'Class Schedule Analysis'!C156</f>
        <v>7</v>
      </c>
      <c r="C157" s="29" t="str">
        <f>'Class Schedule Analysis'!J156</f>
        <v>WEST 004</v>
      </c>
      <c r="D157" s="7" t="str">
        <f>'Class Schedule Analysis'!M156</f>
        <v>Physical</v>
      </c>
      <c r="E157" s="30">
        <f>'Class Schedule Analysis'!P156</f>
        <v>0</v>
      </c>
      <c r="F157" s="30">
        <f>'Class Schedule Analysis'!Q156</f>
        <v>0</v>
      </c>
      <c r="G157" s="7">
        <f t="shared" si="31"/>
        <v>0</v>
      </c>
      <c r="H157" s="7">
        <f t="shared" si="31"/>
        <v>0</v>
      </c>
      <c r="I157" s="7">
        <f t="shared" si="31"/>
        <v>0</v>
      </c>
      <c r="J157" s="7">
        <f t="shared" si="31"/>
        <v>0</v>
      </c>
      <c r="K157" s="7">
        <f t="shared" si="31"/>
        <v>0</v>
      </c>
      <c r="L157" s="7">
        <f t="shared" si="31"/>
        <v>0</v>
      </c>
      <c r="M157" s="7">
        <f t="shared" si="31"/>
        <v>0</v>
      </c>
      <c r="N157" s="7">
        <f t="shared" si="31"/>
        <v>0</v>
      </c>
      <c r="O157" s="7">
        <f t="shared" si="31"/>
        <v>0</v>
      </c>
      <c r="P157" s="7">
        <f t="shared" si="31"/>
        <v>0</v>
      </c>
      <c r="Q157" s="7">
        <f t="shared" si="32"/>
        <v>0</v>
      </c>
      <c r="R157" s="7">
        <f t="shared" si="32"/>
        <v>0</v>
      </c>
      <c r="S157" s="7">
        <f t="shared" si="32"/>
        <v>0</v>
      </c>
      <c r="T157" s="7">
        <f t="shared" si="32"/>
        <v>0</v>
      </c>
      <c r="U157" s="7">
        <f t="shared" si="32"/>
        <v>0</v>
      </c>
      <c r="V157" s="7">
        <f t="shared" si="32"/>
        <v>0</v>
      </c>
      <c r="W157" s="7">
        <f t="shared" si="32"/>
        <v>0</v>
      </c>
      <c r="X157" s="7">
        <f t="shared" si="32"/>
        <v>0</v>
      </c>
      <c r="Y157" s="7">
        <f t="shared" si="32"/>
        <v>0</v>
      </c>
      <c r="Z157" s="7">
        <f t="shared" si="32"/>
        <v>0</v>
      </c>
      <c r="AA157" s="7">
        <f t="shared" si="32"/>
        <v>0</v>
      </c>
      <c r="AB157" s="7">
        <f t="shared" si="32"/>
        <v>0</v>
      </c>
    </row>
    <row r="158" spans="1:28" x14ac:dyDescent="0.25">
      <c r="A158" s="4">
        <f>'Class Schedule Analysis'!A157</f>
        <v>155</v>
      </c>
      <c r="B158" s="4">
        <f>'Class Schedule Analysis'!C157</f>
        <v>7</v>
      </c>
      <c r="C158" s="23" t="str">
        <f>'Class Schedule Analysis'!J157</f>
        <v>TECH 001</v>
      </c>
      <c r="D158" s="4" t="str">
        <f>'Class Schedule Analysis'!M157</f>
        <v>Physical</v>
      </c>
      <c r="E158" s="28">
        <f>'Class Schedule Analysis'!P157</f>
        <v>0</v>
      </c>
      <c r="F158" s="28">
        <f>'Class Schedule Analysis'!Q157</f>
        <v>0</v>
      </c>
      <c r="G158" s="4">
        <f t="shared" si="31"/>
        <v>0</v>
      </c>
      <c r="H158" s="4">
        <f t="shared" si="31"/>
        <v>0</v>
      </c>
      <c r="I158" s="4">
        <f t="shared" si="31"/>
        <v>0</v>
      </c>
      <c r="J158" s="4">
        <f t="shared" si="31"/>
        <v>0</v>
      </c>
      <c r="K158" s="4">
        <f t="shared" si="31"/>
        <v>0</v>
      </c>
      <c r="L158" s="4">
        <f t="shared" si="31"/>
        <v>0</v>
      </c>
      <c r="M158" s="4">
        <f t="shared" si="31"/>
        <v>0</v>
      </c>
      <c r="N158" s="4">
        <f t="shared" si="31"/>
        <v>0</v>
      </c>
      <c r="O158" s="4">
        <f t="shared" si="31"/>
        <v>0</v>
      </c>
      <c r="P158" s="4">
        <f t="shared" si="31"/>
        <v>0</v>
      </c>
      <c r="Q158" s="4">
        <f t="shared" si="32"/>
        <v>0</v>
      </c>
      <c r="R158" s="4">
        <f t="shared" si="32"/>
        <v>0</v>
      </c>
      <c r="S158" s="4">
        <f t="shared" si="32"/>
        <v>0</v>
      </c>
      <c r="T158" s="4">
        <f t="shared" si="32"/>
        <v>0</v>
      </c>
      <c r="U158" s="4">
        <f t="shared" si="32"/>
        <v>0</v>
      </c>
      <c r="V158" s="4">
        <f t="shared" si="32"/>
        <v>0</v>
      </c>
      <c r="W158" s="4">
        <f t="shared" si="32"/>
        <v>0</v>
      </c>
      <c r="X158" s="4">
        <f t="shared" si="32"/>
        <v>0</v>
      </c>
      <c r="Y158" s="4">
        <f t="shared" si="32"/>
        <v>0</v>
      </c>
      <c r="Z158" s="4">
        <f t="shared" si="32"/>
        <v>0</v>
      </c>
      <c r="AA158" s="4">
        <f t="shared" si="32"/>
        <v>0</v>
      </c>
      <c r="AB158" s="4">
        <f t="shared" si="32"/>
        <v>0</v>
      </c>
    </row>
    <row r="159" spans="1:28" x14ac:dyDescent="0.25">
      <c r="A159" s="7">
        <f>'Class Schedule Analysis'!A158</f>
        <v>156</v>
      </c>
      <c r="B159" s="7">
        <f>'Class Schedule Analysis'!C158</f>
        <v>7</v>
      </c>
      <c r="C159" s="29" t="str">
        <f>'Class Schedule Analysis'!J158</f>
        <v>TECH 001</v>
      </c>
      <c r="D159" s="7" t="str">
        <f>'Class Schedule Analysis'!M158</f>
        <v>Physical</v>
      </c>
      <c r="E159" s="30">
        <f>'Class Schedule Analysis'!P158</f>
        <v>46214</v>
      </c>
      <c r="F159" s="30">
        <f>'Class Schedule Analysis'!Q158</f>
        <v>46326</v>
      </c>
      <c r="G159" s="7">
        <f t="shared" si="31"/>
        <v>0</v>
      </c>
      <c r="H159" s="7">
        <f t="shared" si="31"/>
        <v>0</v>
      </c>
      <c r="I159" s="7">
        <f t="shared" si="31"/>
        <v>0</v>
      </c>
      <c r="J159" s="7">
        <f t="shared" si="31"/>
        <v>0</v>
      </c>
      <c r="K159" s="7">
        <f t="shared" si="31"/>
        <v>0</v>
      </c>
      <c r="L159" s="7">
        <f t="shared" si="31"/>
        <v>0</v>
      </c>
      <c r="M159" s="7">
        <f t="shared" si="31"/>
        <v>0</v>
      </c>
      <c r="N159" s="7">
        <f t="shared" si="31"/>
        <v>0</v>
      </c>
      <c r="O159" s="7">
        <f t="shared" si="31"/>
        <v>3</v>
      </c>
      <c r="P159" s="7">
        <f t="shared" si="31"/>
        <v>5</v>
      </c>
      <c r="Q159" s="7">
        <f t="shared" si="32"/>
        <v>4</v>
      </c>
      <c r="R159" s="7">
        <f t="shared" si="32"/>
        <v>4</v>
      </c>
      <c r="S159" s="7">
        <f t="shared" si="32"/>
        <v>0</v>
      </c>
      <c r="T159" s="7">
        <f t="shared" si="32"/>
        <v>0</v>
      </c>
      <c r="U159" s="7">
        <f t="shared" si="32"/>
        <v>0</v>
      </c>
      <c r="V159" s="7">
        <f t="shared" si="32"/>
        <v>0</v>
      </c>
      <c r="W159" s="7">
        <f t="shared" si="32"/>
        <v>0</v>
      </c>
      <c r="X159" s="7">
        <f t="shared" si="32"/>
        <v>0</v>
      </c>
      <c r="Y159" s="7">
        <f t="shared" si="32"/>
        <v>0</v>
      </c>
      <c r="Z159" s="7">
        <f t="shared" si="32"/>
        <v>0</v>
      </c>
      <c r="AA159" s="7">
        <f t="shared" si="32"/>
        <v>0</v>
      </c>
      <c r="AB159" s="7">
        <f t="shared" si="32"/>
        <v>0</v>
      </c>
    </row>
    <row r="160" spans="1:28" x14ac:dyDescent="0.25">
      <c r="A160" s="4">
        <f>'Class Schedule Analysis'!A159</f>
        <v>157</v>
      </c>
      <c r="B160" s="4">
        <f>'Class Schedule Analysis'!C159</f>
        <v>7</v>
      </c>
      <c r="C160" s="23" t="str">
        <f>'Class Schedule Analysis'!J159</f>
        <v>TECH 003</v>
      </c>
      <c r="D160" s="4" t="str">
        <f>'Class Schedule Analysis'!M159</f>
        <v>Physical</v>
      </c>
      <c r="E160" s="28">
        <f>'Class Schedule Analysis'!P159</f>
        <v>46117</v>
      </c>
      <c r="F160" s="28">
        <f>'Class Schedule Analysis'!Q159</f>
        <v>46285</v>
      </c>
      <c r="G160" s="4">
        <f t="shared" si="31"/>
        <v>0</v>
      </c>
      <c r="H160" s="4">
        <f t="shared" si="31"/>
        <v>0</v>
      </c>
      <c r="I160" s="4">
        <f t="shared" si="31"/>
        <v>0</v>
      </c>
      <c r="J160" s="4">
        <f t="shared" si="31"/>
        <v>0</v>
      </c>
      <c r="K160" s="4">
        <f t="shared" si="31"/>
        <v>0</v>
      </c>
      <c r="L160" s="4">
        <f t="shared" si="31"/>
        <v>4</v>
      </c>
      <c r="M160" s="4">
        <f t="shared" si="31"/>
        <v>5</v>
      </c>
      <c r="N160" s="4">
        <f t="shared" si="31"/>
        <v>4</v>
      </c>
      <c r="O160" s="4">
        <f t="shared" si="31"/>
        <v>4</v>
      </c>
      <c r="P160" s="4">
        <f t="shared" si="31"/>
        <v>5</v>
      </c>
      <c r="Q160" s="4">
        <f t="shared" si="32"/>
        <v>3</v>
      </c>
      <c r="R160" s="4">
        <f t="shared" si="32"/>
        <v>0</v>
      </c>
      <c r="S160" s="4">
        <f t="shared" si="32"/>
        <v>0</v>
      </c>
      <c r="T160" s="4">
        <f t="shared" si="32"/>
        <v>0</v>
      </c>
      <c r="U160" s="4">
        <f t="shared" si="32"/>
        <v>0</v>
      </c>
      <c r="V160" s="4">
        <f t="shared" si="32"/>
        <v>0</v>
      </c>
      <c r="W160" s="4">
        <f t="shared" si="32"/>
        <v>0</v>
      </c>
      <c r="X160" s="4">
        <f t="shared" si="32"/>
        <v>0</v>
      </c>
      <c r="Y160" s="4">
        <f t="shared" si="32"/>
        <v>0</v>
      </c>
      <c r="Z160" s="4">
        <f t="shared" si="32"/>
        <v>0</v>
      </c>
      <c r="AA160" s="4">
        <f t="shared" si="32"/>
        <v>0</v>
      </c>
      <c r="AB160" s="4">
        <f t="shared" si="32"/>
        <v>0</v>
      </c>
    </row>
    <row r="161" spans="1:28" x14ac:dyDescent="0.25">
      <c r="A161" s="7">
        <f>'Class Schedule Analysis'!A160</f>
        <v>158</v>
      </c>
      <c r="B161" s="7">
        <f>'Class Schedule Analysis'!C160</f>
        <v>7</v>
      </c>
      <c r="C161" s="29" t="str">
        <f>'Class Schedule Analysis'!J160</f>
        <v>TECH 003</v>
      </c>
      <c r="D161" s="7" t="str">
        <f>'Class Schedule Analysis'!M160</f>
        <v>Physical</v>
      </c>
      <c r="E161" s="30">
        <f>'Class Schedule Analysis'!P160</f>
        <v>46117</v>
      </c>
      <c r="F161" s="30">
        <f>'Class Schedule Analysis'!Q160</f>
        <v>46285</v>
      </c>
      <c r="G161" s="7">
        <f t="shared" si="31"/>
        <v>0</v>
      </c>
      <c r="H161" s="7">
        <f t="shared" si="31"/>
        <v>0</v>
      </c>
      <c r="I161" s="7">
        <f t="shared" si="31"/>
        <v>0</v>
      </c>
      <c r="J161" s="7">
        <f t="shared" si="31"/>
        <v>0</v>
      </c>
      <c r="K161" s="7">
        <f t="shared" si="31"/>
        <v>0</v>
      </c>
      <c r="L161" s="7">
        <f t="shared" si="31"/>
        <v>4</v>
      </c>
      <c r="M161" s="7">
        <f t="shared" si="31"/>
        <v>5</v>
      </c>
      <c r="N161" s="7">
        <f t="shared" si="31"/>
        <v>4</v>
      </c>
      <c r="O161" s="7">
        <f t="shared" si="31"/>
        <v>4</v>
      </c>
      <c r="P161" s="7">
        <f t="shared" si="31"/>
        <v>5</v>
      </c>
      <c r="Q161" s="7">
        <f t="shared" si="32"/>
        <v>3</v>
      </c>
      <c r="R161" s="7">
        <f t="shared" si="32"/>
        <v>0</v>
      </c>
      <c r="S161" s="7">
        <f t="shared" si="32"/>
        <v>0</v>
      </c>
      <c r="T161" s="7">
        <f t="shared" si="32"/>
        <v>0</v>
      </c>
      <c r="U161" s="7">
        <f t="shared" si="32"/>
        <v>0</v>
      </c>
      <c r="V161" s="7">
        <f t="shared" si="32"/>
        <v>0</v>
      </c>
      <c r="W161" s="7">
        <f t="shared" si="32"/>
        <v>0</v>
      </c>
      <c r="X161" s="7">
        <f t="shared" si="32"/>
        <v>0</v>
      </c>
      <c r="Y161" s="7">
        <f t="shared" si="32"/>
        <v>0</v>
      </c>
      <c r="Z161" s="7">
        <f t="shared" si="32"/>
        <v>0</v>
      </c>
      <c r="AA161" s="7">
        <f t="shared" si="32"/>
        <v>0</v>
      </c>
      <c r="AB161" s="7">
        <f t="shared" si="32"/>
        <v>0</v>
      </c>
    </row>
    <row r="162" spans="1:28" x14ac:dyDescent="0.25">
      <c r="A162" s="4">
        <f>'Class Schedule Analysis'!A161</f>
        <v>159</v>
      </c>
      <c r="B162" s="4">
        <f>'Class Schedule Analysis'!C161</f>
        <v>7</v>
      </c>
      <c r="C162" s="23" t="str">
        <f>'Class Schedule Analysis'!J161</f>
        <v>TECH 004</v>
      </c>
      <c r="D162" s="4" t="str">
        <f>'Class Schedule Analysis'!M161</f>
        <v>Physical</v>
      </c>
      <c r="E162" s="28">
        <f>'Class Schedule Analysis'!P161</f>
        <v>46117</v>
      </c>
      <c r="F162" s="28">
        <f>'Class Schedule Analysis'!Q161</f>
        <v>46285</v>
      </c>
      <c r="G162" s="4">
        <f t="shared" si="31"/>
        <v>0</v>
      </c>
      <c r="H162" s="4">
        <f t="shared" si="31"/>
        <v>0</v>
      </c>
      <c r="I162" s="4">
        <f t="shared" si="31"/>
        <v>0</v>
      </c>
      <c r="J162" s="4">
        <f t="shared" si="31"/>
        <v>0</v>
      </c>
      <c r="K162" s="4">
        <f t="shared" si="31"/>
        <v>0</v>
      </c>
      <c r="L162" s="4">
        <f t="shared" si="31"/>
        <v>4</v>
      </c>
      <c r="M162" s="4">
        <f t="shared" si="31"/>
        <v>5</v>
      </c>
      <c r="N162" s="4">
        <f t="shared" si="31"/>
        <v>4</v>
      </c>
      <c r="O162" s="4">
        <f t="shared" si="31"/>
        <v>4</v>
      </c>
      <c r="P162" s="4">
        <f t="shared" si="31"/>
        <v>5</v>
      </c>
      <c r="Q162" s="4">
        <f t="shared" si="32"/>
        <v>3</v>
      </c>
      <c r="R162" s="4">
        <f t="shared" si="32"/>
        <v>0</v>
      </c>
      <c r="S162" s="4">
        <f t="shared" si="32"/>
        <v>0</v>
      </c>
      <c r="T162" s="4">
        <f t="shared" si="32"/>
        <v>0</v>
      </c>
      <c r="U162" s="4">
        <f t="shared" si="32"/>
        <v>0</v>
      </c>
      <c r="V162" s="4">
        <f t="shared" si="32"/>
        <v>0</v>
      </c>
      <c r="W162" s="4">
        <f t="shared" si="32"/>
        <v>0</v>
      </c>
      <c r="X162" s="4">
        <f t="shared" si="32"/>
        <v>0</v>
      </c>
      <c r="Y162" s="4">
        <f t="shared" si="32"/>
        <v>0</v>
      </c>
      <c r="Z162" s="4">
        <f t="shared" si="32"/>
        <v>0</v>
      </c>
      <c r="AA162" s="4">
        <f t="shared" si="32"/>
        <v>0</v>
      </c>
      <c r="AB162" s="4">
        <f t="shared" si="32"/>
        <v>0</v>
      </c>
    </row>
    <row r="163" spans="1:28" x14ac:dyDescent="0.25">
      <c r="A163" s="7">
        <f>'Class Schedule Analysis'!A162</f>
        <v>160</v>
      </c>
      <c r="B163" s="7">
        <f>'Class Schedule Analysis'!C162</f>
        <v>7</v>
      </c>
      <c r="C163" s="29" t="str">
        <f>'Class Schedule Analysis'!J162</f>
        <v>TECH 004</v>
      </c>
      <c r="D163" s="7">
        <f>'Class Schedule Analysis'!M162</f>
        <v>0</v>
      </c>
      <c r="E163" s="30">
        <f>'Class Schedule Analysis'!P162</f>
        <v>0</v>
      </c>
      <c r="F163" s="30">
        <f>'Class Schedule Analysis'!Q162</f>
        <v>0</v>
      </c>
      <c r="G163" s="7">
        <f t="shared" si="31"/>
        <v>0</v>
      </c>
      <c r="H163" s="7">
        <f t="shared" si="31"/>
        <v>0</v>
      </c>
      <c r="I163" s="7">
        <f t="shared" si="31"/>
        <v>0</v>
      </c>
      <c r="J163" s="7">
        <f t="shared" si="31"/>
        <v>0</v>
      </c>
      <c r="K163" s="7">
        <f t="shared" si="31"/>
        <v>0</v>
      </c>
      <c r="L163" s="7">
        <f t="shared" si="31"/>
        <v>0</v>
      </c>
      <c r="M163" s="7">
        <f t="shared" si="31"/>
        <v>0</v>
      </c>
      <c r="N163" s="7">
        <f t="shared" si="31"/>
        <v>0</v>
      </c>
      <c r="O163" s="7">
        <f t="shared" si="31"/>
        <v>0</v>
      </c>
      <c r="P163" s="7">
        <f t="shared" si="31"/>
        <v>0</v>
      </c>
      <c r="Q163" s="7">
        <f t="shared" si="32"/>
        <v>0</v>
      </c>
      <c r="R163" s="7">
        <f t="shared" si="32"/>
        <v>0</v>
      </c>
      <c r="S163" s="7">
        <f t="shared" si="32"/>
        <v>0</v>
      </c>
      <c r="T163" s="7">
        <f t="shared" si="32"/>
        <v>0</v>
      </c>
      <c r="U163" s="7">
        <f t="shared" si="32"/>
        <v>0</v>
      </c>
      <c r="V163" s="7">
        <f t="shared" si="32"/>
        <v>0</v>
      </c>
      <c r="W163" s="7">
        <f t="shared" si="32"/>
        <v>0</v>
      </c>
      <c r="X163" s="7">
        <f t="shared" si="32"/>
        <v>0</v>
      </c>
      <c r="Y163" s="7">
        <f t="shared" si="32"/>
        <v>0</v>
      </c>
      <c r="Z163" s="7">
        <f t="shared" si="32"/>
        <v>0</v>
      </c>
      <c r="AA163" s="7">
        <f t="shared" si="32"/>
        <v>0</v>
      </c>
      <c r="AB163" s="7">
        <f t="shared" si="32"/>
        <v>0</v>
      </c>
    </row>
    <row r="164" spans="1:28" x14ac:dyDescent="0.25">
      <c r="A164" s="4">
        <f>'Class Schedule Analysis'!A163</f>
        <v>161</v>
      </c>
      <c r="B164" s="4">
        <f>'Class Schedule Analysis'!C163</f>
        <v>7</v>
      </c>
      <c r="C164" s="23" t="str">
        <f>'Class Schedule Analysis'!J163</f>
        <v>MINI BOARD ROOM</v>
      </c>
      <c r="D164" s="4" t="str">
        <f>'Class Schedule Analysis'!M163</f>
        <v>Physical</v>
      </c>
      <c r="E164" s="28">
        <f>'Class Schedule Analysis'!P163</f>
        <v>46229</v>
      </c>
      <c r="F164" s="28">
        <f>'Class Schedule Analysis'!Q163</f>
        <v>46397</v>
      </c>
      <c r="G164" s="4">
        <f t="shared" si="31"/>
        <v>0</v>
      </c>
      <c r="H164" s="4">
        <f t="shared" si="31"/>
        <v>0</v>
      </c>
      <c r="I164" s="4">
        <f t="shared" si="31"/>
        <v>0</v>
      </c>
      <c r="J164" s="4">
        <f t="shared" si="31"/>
        <v>0</v>
      </c>
      <c r="K164" s="4">
        <f t="shared" si="31"/>
        <v>0</v>
      </c>
      <c r="L164" s="4">
        <f t="shared" si="31"/>
        <v>0</v>
      </c>
      <c r="M164" s="4">
        <f t="shared" si="31"/>
        <v>0</v>
      </c>
      <c r="N164" s="4">
        <f t="shared" si="31"/>
        <v>0</v>
      </c>
      <c r="O164" s="4">
        <f t="shared" si="31"/>
        <v>1</v>
      </c>
      <c r="P164" s="4">
        <f t="shared" si="31"/>
        <v>5</v>
      </c>
      <c r="Q164" s="4">
        <f t="shared" si="32"/>
        <v>4</v>
      </c>
      <c r="R164" s="4">
        <f t="shared" si="32"/>
        <v>4</v>
      </c>
      <c r="S164" s="4">
        <f t="shared" si="32"/>
        <v>5</v>
      </c>
      <c r="T164" s="4">
        <f t="shared" si="32"/>
        <v>4</v>
      </c>
      <c r="U164" s="4">
        <f t="shared" si="32"/>
        <v>2</v>
      </c>
      <c r="V164" s="4">
        <f t="shared" si="32"/>
        <v>0</v>
      </c>
      <c r="W164" s="4">
        <f t="shared" si="32"/>
        <v>0</v>
      </c>
      <c r="X164" s="4">
        <f t="shared" si="32"/>
        <v>0</v>
      </c>
      <c r="Y164" s="4">
        <f t="shared" si="32"/>
        <v>0</v>
      </c>
      <c r="Z164" s="4">
        <f t="shared" si="32"/>
        <v>0</v>
      </c>
      <c r="AA164" s="4">
        <f t="shared" si="32"/>
        <v>0</v>
      </c>
      <c r="AB164" s="4">
        <f t="shared" si="32"/>
        <v>0</v>
      </c>
    </row>
    <row r="165" spans="1:28" x14ac:dyDescent="0.25">
      <c r="A165" s="7">
        <f>'Class Schedule Analysis'!A164</f>
        <v>162</v>
      </c>
      <c r="B165" s="7">
        <f>'Class Schedule Analysis'!C164</f>
        <v>7</v>
      </c>
      <c r="C165" s="29" t="str">
        <f>'Class Schedule Analysis'!J164</f>
        <v>Next to Prof. Cabin</v>
      </c>
      <c r="D165" s="7" t="str">
        <f>'Class Schedule Analysis'!M164</f>
        <v>Physical</v>
      </c>
      <c r="E165" s="30">
        <f>'Class Schedule Analysis'!P164</f>
        <v>0</v>
      </c>
      <c r="F165" s="30">
        <f>'Class Schedule Analysis'!Q164</f>
        <v>0</v>
      </c>
      <c r="G165" s="7">
        <f t="shared" si="31"/>
        <v>0</v>
      </c>
      <c r="H165" s="7">
        <f t="shared" si="31"/>
        <v>0</v>
      </c>
      <c r="I165" s="7">
        <f t="shared" si="31"/>
        <v>0</v>
      </c>
      <c r="J165" s="7">
        <f t="shared" si="31"/>
        <v>0</v>
      </c>
      <c r="K165" s="7">
        <f t="shared" si="31"/>
        <v>0</v>
      </c>
      <c r="L165" s="7">
        <f t="shared" si="31"/>
        <v>0</v>
      </c>
      <c r="M165" s="7">
        <f t="shared" si="31"/>
        <v>0</v>
      </c>
      <c r="N165" s="7">
        <f t="shared" si="31"/>
        <v>0</v>
      </c>
      <c r="O165" s="7">
        <f t="shared" si="31"/>
        <v>0</v>
      </c>
      <c r="P165" s="7">
        <f t="shared" si="31"/>
        <v>0</v>
      </c>
      <c r="Q165" s="7">
        <f t="shared" si="32"/>
        <v>0</v>
      </c>
      <c r="R165" s="7">
        <f t="shared" si="32"/>
        <v>0</v>
      </c>
      <c r="S165" s="7">
        <f t="shared" si="32"/>
        <v>0</v>
      </c>
      <c r="T165" s="7">
        <f t="shared" si="32"/>
        <v>0</v>
      </c>
      <c r="U165" s="7">
        <f t="shared" si="32"/>
        <v>0</v>
      </c>
      <c r="V165" s="7">
        <f t="shared" si="32"/>
        <v>0</v>
      </c>
      <c r="W165" s="7">
        <f t="shared" si="32"/>
        <v>0</v>
      </c>
      <c r="X165" s="7">
        <f t="shared" si="32"/>
        <v>0</v>
      </c>
      <c r="Y165" s="7">
        <f t="shared" si="32"/>
        <v>0</v>
      </c>
      <c r="Z165" s="7">
        <f t="shared" si="32"/>
        <v>0</v>
      </c>
      <c r="AA165" s="7">
        <f t="shared" si="32"/>
        <v>0</v>
      </c>
      <c r="AB165" s="7">
        <f t="shared" si="32"/>
        <v>0</v>
      </c>
    </row>
    <row r="166" spans="1:28" x14ac:dyDescent="0.25">
      <c r="A166" s="4">
        <f>'Class Schedule Analysis'!A165</f>
        <v>163</v>
      </c>
      <c r="B166" s="4">
        <f>'Class Schedule Analysis'!C165</f>
        <v>7</v>
      </c>
      <c r="C166" s="23" t="str">
        <f>'Class Schedule Analysis'!J165</f>
        <v>Next to Prof. Cabin</v>
      </c>
      <c r="D166" s="4" t="str">
        <f>'Class Schedule Analysis'!M165</f>
        <v>Online</v>
      </c>
      <c r="E166" s="28">
        <f>'Class Schedule Analysis'!P165</f>
        <v>0</v>
      </c>
      <c r="F166" s="28">
        <f>'Class Schedule Analysis'!Q165</f>
        <v>0</v>
      </c>
      <c r="G166" s="4">
        <f t="shared" si="31"/>
        <v>0</v>
      </c>
      <c r="H166" s="4">
        <f t="shared" si="31"/>
        <v>0</v>
      </c>
      <c r="I166" s="4">
        <f t="shared" si="31"/>
        <v>0</v>
      </c>
      <c r="J166" s="4">
        <f t="shared" si="31"/>
        <v>0</v>
      </c>
      <c r="K166" s="4">
        <f t="shared" si="31"/>
        <v>0</v>
      </c>
      <c r="L166" s="4">
        <f t="shared" si="31"/>
        <v>0</v>
      </c>
      <c r="M166" s="4">
        <f t="shared" si="31"/>
        <v>0</v>
      </c>
      <c r="N166" s="4">
        <f t="shared" si="31"/>
        <v>0</v>
      </c>
      <c r="O166" s="4">
        <f t="shared" si="31"/>
        <v>0</v>
      </c>
      <c r="P166" s="4">
        <f t="shared" si="31"/>
        <v>0</v>
      </c>
      <c r="Q166" s="4">
        <f t="shared" si="32"/>
        <v>0</v>
      </c>
      <c r="R166" s="4">
        <f t="shared" si="32"/>
        <v>0</v>
      </c>
      <c r="S166" s="4">
        <f t="shared" si="32"/>
        <v>0</v>
      </c>
      <c r="T166" s="4">
        <f t="shared" si="32"/>
        <v>0</v>
      </c>
      <c r="U166" s="4">
        <f t="shared" si="32"/>
        <v>0</v>
      </c>
      <c r="V166" s="4">
        <f t="shared" si="32"/>
        <v>0</v>
      </c>
      <c r="W166" s="4">
        <f t="shared" si="32"/>
        <v>0</v>
      </c>
      <c r="X166" s="4">
        <f t="shared" si="32"/>
        <v>0</v>
      </c>
      <c r="Y166" s="4">
        <f t="shared" si="32"/>
        <v>0</v>
      </c>
      <c r="Z166" s="4">
        <f t="shared" si="32"/>
        <v>0</v>
      </c>
      <c r="AA166" s="4">
        <f t="shared" si="32"/>
        <v>0</v>
      </c>
      <c r="AB166" s="4">
        <f t="shared" si="32"/>
        <v>0</v>
      </c>
    </row>
  </sheetData>
  <mergeCells count="2">
    <mergeCell ref="A1:AB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5"/>
  <dimension ref="A1:F9"/>
  <sheetViews>
    <sheetView showGridLines="0" zoomScaleNormal="100" workbookViewId="0">
      <selection activeCell="F3" sqref="F3"/>
    </sheetView>
  </sheetViews>
  <sheetFormatPr defaultColWidth="8.7109375" defaultRowHeight="15" x14ac:dyDescent="0.25"/>
  <cols>
    <col min="1" max="1" width="30" customWidth="1"/>
    <col min="2" max="4" width="11" customWidth="1"/>
    <col min="5" max="5" width="20" customWidth="1"/>
    <col min="6" max="6" width="10" customWidth="1"/>
  </cols>
  <sheetData>
    <row r="1" spans="1:6" ht="16.5" customHeight="1" x14ac:dyDescent="0.25">
      <c r="A1" s="59" t="s">
        <v>376</v>
      </c>
      <c r="B1" s="59"/>
      <c r="C1" s="59"/>
      <c r="D1" s="59"/>
      <c r="E1" s="59"/>
      <c r="F1" s="59"/>
    </row>
    <row r="2" spans="1:6" ht="30" customHeight="1" x14ac:dyDescent="0.25">
      <c r="A2" s="2" t="s">
        <v>85</v>
      </c>
      <c r="B2" s="2" t="s">
        <v>18</v>
      </c>
      <c r="C2" s="2" t="s">
        <v>19</v>
      </c>
      <c r="D2" s="2" t="s">
        <v>20</v>
      </c>
      <c r="E2" s="2" t="s">
        <v>377</v>
      </c>
      <c r="F2" s="2" t="s">
        <v>378</v>
      </c>
    </row>
    <row r="3" spans="1:6" x14ac:dyDescent="0.25">
      <c r="A3" s="37" t="s">
        <v>379</v>
      </c>
      <c r="B3" s="4">
        <f ca="1">COUNTIFS('Class Schedule Analysis'!$S$3:$S$165,"Completed",'Class Schedule Analysis'!$M$3:$M$165,"Physical")</f>
        <v>26</v>
      </c>
      <c r="C3" s="4">
        <f ca="1">COUNTIFS('Class Schedule Analysis'!$S$3:$S$165,"Completed",'Class Schedule Analysis'!$M$3:$M$165,"Hybrid")</f>
        <v>8</v>
      </c>
      <c r="D3" s="4">
        <f ca="1">COUNTIFS('Class Schedule Analysis'!$S$3:$S$165,"Completed",'Class Schedule Analysis'!$M$3:$M$165,"Online")</f>
        <v>0</v>
      </c>
      <c r="E3" s="4">
        <f ca="1">COUNTIF('Class Schedule Analysis'!$S$3:$S$165,"Completed")-B3-C3-D3</f>
        <v>0</v>
      </c>
      <c r="F3" s="5">
        <f ca="1">SUM(B3:E3)</f>
        <v>34</v>
      </c>
    </row>
    <row r="4" spans="1:6" x14ac:dyDescent="0.25">
      <c r="A4" s="38" t="s">
        <v>380</v>
      </c>
      <c r="B4" s="7">
        <f ca="1">COUNTIFS('Class Schedule Analysis'!$S$3:$S$165,"Ongoing",'Class Schedule Analysis'!$M$3:$M$165,"Physical")</f>
        <v>84</v>
      </c>
      <c r="C4" s="7">
        <f ca="1">COUNTIFS('Class Schedule Analysis'!$S$3:$S$165,"Ongoing",'Class Schedule Analysis'!$M$3:$M$165,"Hybrid")</f>
        <v>15</v>
      </c>
      <c r="D4" s="7">
        <f ca="1">COUNTIFS('Class Schedule Analysis'!$S$3:$S$165,"Ongoing",'Class Schedule Analysis'!$M$3:$M$165,"Online")</f>
        <v>5</v>
      </c>
      <c r="E4" s="7">
        <f ca="1">COUNTIF('Class Schedule Analysis'!$S$3:$S$165,"Ongoing")-B4-C4-D4</f>
        <v>0</v>
      </c>
      <c r="F4" s="8">
        <f ca="1">SUM(B4:E4)</f>
        <v>104</v>
      </c>
    </row>
    <row r="5" spans="1:6" x14ac:dyDescent="0.25">
      <c r="A5" s="37" t="s">
        <v>381</v>
      </c>
      <c r="B5" s="4">
        <f ca="1">COUNTIFS('Class Schedule Analysis'!$S$3:$S$165,"Upcoming",'Class Schedule Analysis'!$M$3:$M$165,"Physical")</f>
        <v>0</v>
      </c>
      <c r="C5" s="4">
        <f ca="1">COUNTIFS('Class Schedule Analysis'!$S$3:$S$165,"Upcoming",'Class Schedule Analysis'!$M$3:$M$165,"Hybrid")</f>
        <v>0</v>
      </c>
      <c r="D5" s="4">
        <f ca="1">COUNTIFS('Class Schedule Analysis'!$S$3:$S$165,"Upcoming",'Class Schedule Analysis'!$M$3:$M$165,"Online")</f>
        <v>0</v>
      </c>
      <c r="E5" s="4">
        <f ca="1">COUNTIF('Class Schedule Analysis'!$S$3:$S$165,"Upcoming")-B5-C5-D5</f>
        <v>0</v>
      </c>
      <c r="F5" s="5">
        <f ca="1">SUM(B5:E5)</f>
        <v>0</v>
      </c>
    </row>
    <row r="6" spans="1:6" x14ac:dyDescent="0.25">
      <c r="A6" s="38" t="s">
        <v>382</v>
      </c>
      <c r="B6" s="7">
        <f ca="1">COUNTIFS('Class Schedule Analysis'!$S$3:$S$165,"Unknown (missing duration data)",'Class Schedule Analysis'!$M$3:$M$165,"Physical")</f>
        <v>14</v>
      </c>
      <c r="C6" s="7">
        <f ca="1">COUNTIFS('Class Schedule Analysis'!$S$3:$S$165,"Unknown (missing duration data)",'Class Schedule Analysis'!$M$3:$M$165,"Hybrid")</f>
        <v>6</v>
      </c>
      <c r="D6" s="7">
        <f ca="1">COUNTIFS('Class Schedule Analysis'!$S$3:$S$165,"Unknown (missing duration data)",'Class Schedule Analysis'!$M$3:$M$165,"Online")</f>
        <v>3</v>
      </c>
      <c r="E6" s="7">
        <f ca="1">COUNTIF('Class Schedule Analysis'!$S$3:$S$165,"Unknown (missing duration data)")-B6-C6-D6</f>
        <v>2</v>
      </c>
      <c r="F6" s="8">
        <f ca="1">SUM(B6:E6)</f>
        <v>25</v>
      </c>
    </row>
    <row r="7" spans="1:6" x14ac:dyDescent="0.25">
      <c r="A7" s="39" t="s">
        <v>383</v>
      </c>
      <c r="B7" s="40">
        <f ca="1">SUM(B3:B6)</f>
        <v>124</v>
      </c>
      <c r="C7" s="40">
        <f ca="1">SUM(C3:C6)</f>
        <v>29</v>
      </c>
      <c r="D7" s="40">
        <f ca="1">SUM(D3:D6)</f>
        <v>8</v>
      </c>
      <c r="E7" s="40">
        <f ca="1">SUM(E3:E6)</f>
        <v>2</v>
      </c>
      <c r="F7" s="40">
        <f ca="1">SUM(F3:F6)</f>
        <v>163</v>
      </c>
    </row>
    <row r="9" spans="1:6" x14ac:dyDescent="0.25">
      <c r="A9" s="33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/>
  <dimension ref="A1:F167"/>
  <sheetViews>
    <sheetView showGridLines="0" zoomScaleNormal="100" workbookViewId="0">
      <pane ySplit="2" topLeftCell="A3" activePane="bottomLeft" state="frozen"/>
      <selection pane="bottomLeft" activeCell="D165" sqref="D165"/>
    </sheetView>
  </sheetViews>
  <sheetFormatPr defaultColWidth="8.7109375" defaultRowHeight="15" x14ac:dyDescent="0.25"/>
  <cols>
    <col min="1" max="1" width="12" customWidth="1"/>
    <col min="2" max="2" width="20" customWidth="1"/>
    <col min="3" max="3" width="22" customWidth="1"/>
    <col min="4" max="4" width="42" customWidth="1"/>
    <col min="5" max="5" width="16" customWidth="1"/>
    <col min="6" max="6" width="46" customWidth="1"/>
  </cols>
  <sheetData>
    <row r="1" spans="1:6" ht="16.5" customHeight="1" x14ac:dyDescent="0.25">
      <c r="A1" s="59" t="s">
        <v>384</v>
      </c>
      <c r="B1" s="59"/>
      <c r="C1" s="59"/>
      <c r="D1" s="59"/>
      <c r="E1" s="59"/>
      <c r="F1" s="59"/>
    </row>
    <row r="2" spans="1:6" ht="30" customHeight="1" x14ac:dyDescent="0.25">
      <c r="A2" s="2" t="s">
        <v>94</v>
      </c>
      <c r="B2" s="2" t="s">
        <v>385</v>
      </c>
      <c r="C2" s="2" t="s">
        <v>386</v>
      </c>
      <c r="D2" s="2" t="s">
        <v>97</v>
      </c>
      <c r="E2" s="2" t="s">
        <v>387</v>
      </c>
      <c r="F2" s="2" t="s">
        <v>388</v>
      </c>
    </row>
    <row r="3" spans="1:6" x14ac:dyDescent="0.25">
      <c r="A3" s="23" t="s">
        <v>75</v>
      </c>
      <c r="B3" s="23" t="s">
        <v>297</v>
      </c>
      <c r="C3" s="23" t="s">
        <v>389</v>
      </c>
      <c r="D3" s="23" t="s">
        <v>102</v>
      </c>
      <c r="E3" s="23" t="s">
        <v>18</v>
      </c>
      <c r="F3" s="23" t="s">
        <v>298</v>
      </c>
    </row>
    <row r="4" spans="1:6" x14ac:dyDescent="0.25">
      <c r="A4" s="29" t="s">
        <v>75</v>
      </c>
      <c r="B4" s="29" t="s">
        <v>297</v>
      </c>
      <c r="C4" s="29" t="s">
        <v>390</v>
      </c>
      <c r="D4" s="29" t="s">
        <v>391</v>
      </c>
      <c r="E4" s="29" t="s">
        <v>18</v>
      </c>
      <c r="F4" s="29" t="s">
        <v>299</v>
      </c>
    </row>
    <row r="5" spans="1:6" x14ac:dyDescent="0.25">
      <c r="A5" s="23" t="s">
        <v>75</v>
      </c>
      <c r="B5" s="23" t="s">
        <v>300</v>
      </c>
      <c r="C5" s="23" t="s">
        <v>392</v>
      </c>
      <c r="D5" s="23" t="s">
        <v>110</v>
      </c>
      <c r="E5" s="23" t="s">
        <v>18</v>
      </c>
      <c r="F5" s="23" t="s">
        <v>301</v>
      </c>
    </row>
    <row r="6" spans="1:6" x14ac:dyDescent="0.25">
      <c r="A6" s="29" t="s">
        <v>75</v>
      </c>
      <c r="B6" s="29" t="s">
        <v>302</v>
      </c>
      <c r="C6" s="29" t="s">
        <v>393</v>
      </c>
      <c r="D6" s="29" t="s">
        <v>112</v>
      </c>
      <c r="E6" s="29" t="s">
        <v>18</v>
      </c>
      <c r="F6" s="29" t="s">
        <v>303</v>
      </c>
    </row>
    <row r="7" spans="1:6" x14ac:dyDescent="0.25">
      <c r="A7" s="23" t="s">
        <v>75</v>
      </c>
      <c r="B7" s="23" t="s">
        <v>300</v>
      </c>
      <c r="C7" s="23" t="s">
        <v>394</v>
      </c>
      <c r="D7" s="23" t="s">
        <v>107</v>
      </c>
      <c r="E7" s="23" t="s">
        <v>18</v>
      </c>
      <c r="F7" s="23" t="s">
        <v>304</v>
      </c>
    </row>
    <row r="8" spans="1:6" x14ac:dyDescent="0.25">
      <c r="A8" s="29" t="s">
        <v>75</v>
      </c>
      <c r="B8" s="29" t="s">
        <v>300</v>
      </c>
      <c r="C8" s="29" t="s">
        <v>395</v>
      </c>
      <c r="D8" s="29" t="s">
        <v>108</v>
      </c>
      <c r="E8" s="29" t="s">
        <v>18</v>
      </c>
      <c r="F8" s="29" t="s">
        <v>305</v>
      </c>
    </row>
    <row r="9" spans="1:6" x14ac:dyDescent="0.25">
      <c r="A9" s="23" t="s">
        <v>75</v>
      </c>
      <c r="B9" s="23" t="s">
        <v>300</v>
      </c>
      <c r="C9" s="23" t="s">
        <v>396</v>
      </c>
      <c r="D9" s="23" t="s">
        <v>109</v>
      </c>
      <c r="E9" s="23" t="s">
        <v>18</v>
      </c>
      <c r="F9" s="23" t="s">
        <v>306</v>
      </c>
    </row>
    <row r="10" spans="1:6" x14ac:dyDescent="0.25">
      <c r="A10" s="29" t="s">
        <v>75</v>
      </c>
      <c r="B10" s="29" t="s">
        <v>300</v>
      </c>
      <c r="C10" s="29" t="s">
        <v>36</v>
      </c>
      <c r="D10" s="29" t="s">
        <v>105</v>
      </c>
      <c r="E10" s="29" t="s">
        <v>18</v>
      </c>
      <c r="F10" s="29" t="s">
        <v>307</v>
      </c>
    </row>
    <row r="11" spans="1:6" x14ac:dyDescent="0.25">
      <c r="A11" s="23" t="s">
        <v>75</v>
      </c>
      <c r="B11" s="23" t="s">
        <v>300</v>
      </c>
      <c r="C11" s="23" t="s">
        <v>37</v>
      </c>
      <c r="D11" s="23" t="s">
        <v>106</v>
      </c>
      <c r="E11" s="23" t="s">
        <v>18</v>
      </c>
      <c r="F11" s="23" t="s">
        <v>308</v>
      </c>
    </row>
    <row r="12" spans="1:6" x14ac:dyDescent="0.25">
      <c r="A12" s="29" t="s">
        <v>75</v>
      </c>
      <c r="B12" s="29" t="s">
        <v>309</v>
      </c>
      <c r="C12" s="29" t="s">
        <v>389</v>
      </c>
      <c r="D12" s="29" t="s">
        <v>115</v>
      </c>
      <c r="E12" s="29" t="s">
        <v>18</v>
      </c>
      <c r="F12" s="29" t="s">
        <v>304</v>
      </c>
    </row>
    <row r="13" spans="1:6" x14ac:dyDescent="0.25">
      <c r="A13" s="23" t="s">
        <v>75</v>
      </c>
      <c r="B13" s="23" t="s">
        <v>310</v>
      </c>
      <c r="C13" s="23" t="s">
        <v>397</v>
      </c>
      <c r="D13" s="23" t="s">
        <v>114</v>
      </c>
      <c r="E13" s="23" t="s">
        <v>18</v>
      </c>
      <c r="F13" s="23" t="s">
        <v>299</v>
      </c>
    </row>
    <row r="14" spans="1:6" x14ac:dyDescent="0.25">
      <c r="A14" s="29" t="s">
        <v>75</v>
      </c>
      <c r="B14" s="29" t="s">
        <v>311</v>
      </c>
      <c r="C14" s="29" t="s">
        <v>398</v>
      </c>
      <c r="D14" s="29" t="s">
        <v>123</v>
      </c>
      <c r="E14" s="29" t="s">
        <v>18</v>
      </c>
      <c r="F14" s="29" t="s">
        <v>304</v>
      </c>
    </row>
    <row r="15" spans="1:6" x14ac:dyDescent="0.25">
      <c r="A15" s="23" t="s">
        <v>75</v>
      </c>
      <c r="B15" s="23" t="s">
        <v>311</v>
      </c>
      <c r="C15" s="23" t="s">
        <v>399</v>
      </c>
      <c r="D15" s="23" t="s">
        <v>124</v>
      </c>
      <c r="E15" s="23" t="s">
        <v>18</v>
      </c>
      <c r="F15" s="23" t="s">
        <v>304</v>
      </c>
    </row>
    <row r="16" spans="1:6" x14ac:dyDescent="0.25">
      <c r="A16" s="29" t="s">
        <v>75</v>
      </c>
      <c r="B16" s="29" t="s">
        <v>311</v>
      </c>
      <c r="C16" s="29" t="s">
        <v>400</v>
      </c>
      <c r="D16" s="29" t="s">
        <v>125</v>
      </c>
      <c r="E16" s="29" t="s">
        <v>18</v>
      </c>
      <c r="F16" s="29" t="s">
        <v>312</v>
      </c>
    </row>
    <row r="17" spans="1:6" x14ac:dyDescent="0.25">
      <c r="A17" s="23" t="s">
        <v>75</v>
      </c>
      <c r="B17" s="23" t="s">
        <v>311</v>
      </c>
      <c r="C17" s="23" t="s">
        <v>401</v>
      </c>
      <c r="D17" s="23" t="s">
        <v>120</v>
      </c>
      <c r="E17" s="23" t="s">
        <v>18</v>
      </c>
      <c r="F17" s="23" t="s">
        <v>304</v>
      </c>
    </row>
    <row r="18" spans="1:6" x14ac:dyDescent="0.25">
      <c r="A18" s="29" t="s">
        <v>75</v>
      </c>
      <c r="B18" s="29" t="s">
        <v>311</v>
      </c>
      <c r="C18" s="29" t="s">
        <v>402</v>
      </c>
      <c r="D18" s="29" t="s">
        <v>121</v>
      </c>
      <c r="E18" s="29" t="s">
        <v>18</v>
      </c>
      <c r="F18" s="29" t="s">
        <v>313</v>
      </c>
    </row>
    <row r="19" spans="1:6" x14ac:dyDescent="0.25">
      <c r="A19" s="23" t="s">
        <v>75</v>
      </c>
      <c r="B19" s="23" t="s">
        <v>311</v>
      </c>
      <c r="C19" s="23" t="s">
        <v>392</v>
      </c>
      <c r="D19" s="23" t="s">
        <v>122</v>
      </c>
      <c r="E19" s="23" t="s">
        <v>18</v>
      </c>
      <c r="F19" s="23" t="s">
        <v>301</v>
      </c>
    </row>
    <row r="20" spans="1:6" x14ac:dyDescent="0.25">
      <c r="A20" s="29" t="s">
        <v>75</v>
      </c>
      <c r="B20" s="29" t="s">
        <v>311</v>
      </c>
      <c r="C20" s="29" t="s">
        <v>390</v>
      </c>
      <c r="D20" s="29" t="s">
        <v>119</v>
      </c>
      <c r="E20" s="29" t="s">
        <v>18</v>
      </c>
      <c r="F20" s="29" t="s">
        <v>306</v>
      </c>
    </row>
    <row r="21" spans="1:6" x14ac:dyDescent="0.25">
      <c r="A21" s="23" t="s">
        <v>75</v>
      </c>
      <c r="B21" s="23" t="s">
        <v>311</v>
      </c>
      <c r="C21" s="23" t="s">
        <v>36</v>
      </c>
      <c r="D21" s="23" t="s">
        <v>117</v>
      </c>
      <c r="E21" s="23" t="s">
        <v>18</v>
      </c>
      <c r="F21" s="23" t="s">
        <v>307</v>
      </c>
    </row>
    <row r="22" spans="1:6" x14ac:dyDescent="0.25">
      <c r="A22" s="29" t="s">
        <v>75</v>
      </c>
      <c r="B22" s="29" t="s">
        <v>311</v>
      </c>
      <c r="C22" s="29" t="s">
        <v>37</v>
      </c>
      <c r="D22" s="29" t="s">
        <v>118</v>
      </c>
      <c r="E22" s="29" t="s">
        <v>18</v>
      </c>
      <c r="F22" s="29" t="s">
        <v>308</v>
      </c>
    </row>
    <row r="23" spans="1:6" x14ac:dyDescent="0.25">
      <c r="A23" s="23" t="s">
        <v>126</v>
      </c>
      <c r="B23" s="23" t="s">
        <v>297</v>
      </c>
      <c r="C23" s="23" t="s">
        <v>403</v>
      </c>
      <c r="D23" s="23" t="s">
        <v>129</v>
      </c>
      <c r="E23" s="23" t="s">
        <v>19</v>
      </c>
      <c r="F23" s="23" t="s">
        <v>314</v>
      </c>
    </row>
    <row r="24" spans="1:6" x14ac:dyDescent="0.25">
      <c r="A24" s="29" t="s">
        <v>126</v>
      </c>
      <c r="B24" s="29" t="s">
        <v>297</v>
      </c>
      <c r="C24" s="29" t="s">
        <v>390</v>
      </c>
      <c r="D24" s="29" t="s">
        <v>128</v>
      </c>
      <c r="E24" s="29" t="s">
        <v>18</v>
      </c>
      <c r="F24" s="29" t="s">
        <v>304</v>
      </c>
    </row>
    <row r="25" spans="1:6" x14ac:dyDescent="0.25">
      <c r="A25" s="23" t="s">
        <v>126</v>
      </c>
      <c r="B25" s="23" t="s">
        <v>297</v>
      </c>
      <c r="C25" s="23" t="s">
        <v>35</v>
      </c>
      <c r="D25" s="23" t="s">
        <v>404</v>
      </c>
      <c r="E25" s="23" t="s">
        <v>19</v>
      </c>
      <c r="F25" s="23" t="s">
        <v>315</v>
      </c>
    </row>
    <row r="26" spans="1:6" x14ac:dyDescent="0.25">
      <c r="A26" s="29" t="s">
        <v>126</v>
      </c>
      <c r="B26" s="29" t="s">
        <v>300</v>
      </c>
      <c r="C26" s="29" t="s">
        <v>398</v>
      </c>
      <c r="D26" s="29" t="s">
        <v>134</v>
      </c>
      <c r="E26" s="29" t="s">
        <v>18</v>
      </c>
      <c r="F26" s="29" t="s">
        <v>303</v>
      </c>
    </row>
    <row r="27" spans="1:6" x14ac:dyDescent="0.25">
      <c r="A27" s="23" t="s">
        <v>126</v>
      </c>
      <c r="B27" s="23" t="s">
        <v>300</v>
      </c>
      <c r="C27" s="23" t="s">
        <v>399</v>
      </c>
      <c r="D27" s="23" t="s">
        <v>135</v>
      </c>
      <c r="E27" s="23" t="s">
        <v>18</v>
      </c>
      <c r="F27" s="23" t="s">
        <v>304</v>
      </c>
    </row>
    <row r="28" spans="1:6" x14ac:dyDescent="0.25">
      <c r="A28" s="29" t="s">
        <v>126</v>
      </c>
      <c r="B28" s="29" t="s">
        <v>300</v>
      </c>
      <c r="C28" s="29" t="s">
        <v>401</v>
      </c>
      <c r="D28" s="29" t="s">
        <v>132</v>
      </c>
      <c r="E28" s="29" t="s">
        <v>18</v>
      </c>
      <c r="F28" s="29" t="s">
        <v>316</v>
      </c>
    </row>
    <row r="29" spans="1:6" x14ac:dyDescent="0.25">
      <c r="A29" s="23" t="s">
        <v>126</v>
      </c>
      <c r="B29" s="23" t="s">
        <v>300</v>
      </c>
      <c r="C29" s="23" t="s">
        <v>402</v>
      </c>
      <c r="D29" s="23" t="s">
        <v>133</v>
      </c>
      <c r="E29" s="23" t="s">
        <v>18</v>
      </c>
      <c r="F29" s="23" t="s">
        <v>298</v>
      </c>
    </row>
    <row r="30" spans="1:6" x14ac:dyDescent="0.25">
      <c r="A30" s="29" t="s">
        <v>126</v>
      </c>
      <c r="B30" s="29" t="s">
        <v>302</v>
      </c>
      <c r="C30" s="29" t="s">
        <v>395</v>
      </c>
      <c r="D30" s="29" t="s">
        <v>130</v>
      </c>
      <c r="E30" s="29" t="s">
        <v>18</v>
      </c>
      <c r="F30" s="29" t="s">
        <v>313</v>
      </c>
    </row>
    <row r="31" spans="1:6" x14ac:dyDescent="0.25">
      <c r="A31" s="23" t="s">
        <v>126</v>
      </c>
      <c r="B31" s="23" t="s">
        <v>300</v>
      </c>
      <c r="C31" s="23" t="s">
        <v>396</v>
      </c>
      <c r="D31" s="23" t="s">
        <v>131</v>
      </c>
      <c r="E31" s="23" t="s">
        <v>18</v>
      </c>
      <c r="F31" s="23" t="s">
        <v>304</v>
      </c>
    </row>
    <row r="32" spans="1:6" x14ac:dyDescent="0.25">
      <c r="A32" s="29" t="s">
        <v>126</v>
      </c>
      <c r="B32" s="29" t="s">
        <v>309</v>
      </c>
      <c r="C32" s="29" t="s">
        <v>36</v>
      </c>
      <c r="D32" s="29" t="s">
        <v>136</v>
      </c>
      <c r="E32" s="29" t="s">
        <v>18</v>
      </c>
      <c r="F32" s="29" t="s">
        <v>307</v>
      </c>
    </row>
    <row r="33" spans="1:6" x14ac:dyDescent="0.25">
      <c r="A33" s="23" t="s">
        <v>126</v>
      </c>
      <c r="B33" s="23" t="s">
        <v>311</v>
      </c>
      <c r="C33" s="23" t="s">
        <v>53</v>
      </c>
      <c r="D33" s="23" t="s">
        <v>132</v>
      </c>
      <c r="E33" s="23" t="s">
        <v>18</v>
      </c>
      <c r="F33" s="23" t="s">
        <v>308</v>
      </c>
    </row>
    <row r="34" spans="1:6" x14ac:dyDescent="0.25">
      <c r="A34" s="29" t="s">
        <v>126</v>
      </c>
      <c r="B34" s="29" t="s">
        <v>311</v>
      </c>
      <c r="C34" s="29" t="s">
        <v>401</v>
      </c>
      <c r="D34" s="29" t="s">
        <v>405</v>
      </c>
      <c r="E34" s="29" t="s">
        <v>19</v>
      </c>
      <c r="F34" s="29" t="s">
        <v>315</v>
      </c>
    </row>
    <row r="35" spans="1:6" x14ac:dyDescent="0.25">
      <c r="A35" s="23" t="s">
        <v>126</v>
      </c>
      <c r="B35" s="23" t="s">
        <v>311</v>
      </c>
      <c r="C35" s="23" t="s">
        <v>402</v>
      </c>
      <c r="D35" s="23" t="s">
        <v>140</v>
      </c>
      <c r="E35" s="23" t="s">
        <v>18</v>
      </c>
      <c r="F35" s="23" t="s">
        <v>298</v>
      </c>
    </row>
    <row r="36" spans="1:6" x14ac:dyDescent="0.25">
      <c r="A36" s="29" t="s">
        <v>126</v>
      </c>
      <c r="B36" s="29" t="s">
        <v>311</v>
      </c>
      <c r="C36" s="29" t="s">
        <v>36</v>
      </c>
      <c r="D36" s="29" t="s">
        <v>137</v>
      </c>
      <c r="E36" s="29" t="s">
        <v>18</v>
      </c>
      <c r="F36" s="29" t="s">
        <v>307</v>
      </c>
    </row>
    <row r="37" spans="1:6" x14ac:dyDescent="0.25">
      <c r="A37" s="23" t="s">
        <v>126</v>
      </c>
      <c r="B37" s="23" t="s">
        <v>311</v>
      </c>
      <c r="C37" s="23" t="s">
        <v>37</v>
      </c>
      <c r="D37" s="23" t="s">
        <v>138</v>
      </c>
      <c r="E37" s="23" t="s">
        <v>18</v>
      </c>
      <c r="F37" s="23" t="s">
        <v>308</v>
      </c>
    </row>
    <row r="38" spans="1:6" x14ac:dyDescent="0.25">
      <c r="A38" s="29" t="s">
        <v>141</v>
      </c>
      <c r="B38" s="29" t="s">
        <v>300</v>
      </c>
      <c r="C38" s="29" t="s">
        <v>389</v>
      </c>
      <c r="D38" s="29" t="s">
        <v>148</v>
      </c>
      <c r="E38" s="29" t="s">
        <v>18</v>
      </c>
      <c r="F38" s="29" t="s">
        <v>317</v>
      </c>
    </row>
    <row r="39" spans="1:6" x14ac:dyDescent="0.25">
      <c r="A39" s="23" t="s">
        <v>141</v>
      </c>
      <c r="B39" s="23" t="s">
        <v>300</v>
      </c>
      <c r="C39" s="23" t="s">
        <v>398</v>
      </c>
      <c r="D39" s="23" t="s">
        <v>149</v>
      </c>
      <c r="E39" s="23" t="s">
        <v>18</v>
      </c>
      <c r="F39" s="23" t="s">
        <v>298</v>
      </c>
    </row>
    <row r="40" spans="1:6" x14ac:dyDescent="0.25">
      <c r="A40" s="29" t="s">
        <v>141</v>
      </c>
      <c r="B40" s="29" t="s">
        <v>300</v>
      </c>
      <c r="C40" s="29" t="s">
        <v>401</v>
      </c>
      <c r="D40" s="29" t="s">
        <v>146</v>
      </c>
      <c r="E40" s="29" t="s">
        <v>18</v>
      </c>
      <c r="F40" s="29" t="s">
        <v>318</v>
      </c>
    </row>
    <row r="41" spans="1:6" x14ac:dyDescent="0.25">
      <c r="A41" s="23" t="s">
        <v>141</v>
      </c>
      <c r="B41" s="23" t="s">
        <v>300</v>
      </c>
      <c r="C41" s="23" t="s">
        <v>393</v>
      </c>
      <c r="D41" s="23" t="s">
        <v>147</v>
      </c>
      <c r="E41" s="23" t="s">
        <v>18</v>
      </c>
      <c r="F41" s="23" t="s">
        <v>308</v>
      </c>
    </row>
    <row r="42" spans="1:6" x14ac:dyDescent="0.25">
      <c r="A42" s="29" t="s">
        <v>141</v>
      </c>
      <c r="B42" s="29" t="s">
        <v>300</v>
      </c>
      <c r="C42" s="29" t="s">
        <v>394</v>
      </c>
      <c r="D42" s="29" t="s">
        <v>143</v>
      </c>
      <c r="E42" s="29" t="s">
        <v>18</v>
      </c>
      <c r="F42" s="29" t="s">
        <v>319</v>
      </c>
    </row>
    <row r="43" spans="1:6" x14ac:dyDescent="0.25">
      <c r="A43" s="23" t="s">
        <v>141</v>
      </c>
      <c r="B43" s="23" t="s">
        <v>300</v>
      </c>
      <c r="C43" s="23" t="s">
        <v>390</v>
      </c>
      <c r="D43" s="23" t="s">
        <v>144</v>
      </c>
      <c r="E43" s="23" t="s">
        <v>18</v>
      </c>
      <c r="F43" s="23" t="s">
        <v>303</v>
      </c>
    </row>
    <row r="44" spans="1:6" x14ac:dyDescent="0.25">
      <c r="A44" s="29" t="s">
        <v>141</v>
      </c>
      <c r="B44" s="29" t="s">
        <v>300</v>
      </c>
      <c r="C44" s="29" t="s">
        <v>395</v>
      </c>
      <c r="D44" s="29" t="s">
        <v>145</v>
      </c>
      <c r="E44" s="29" t="s">
        <v>18</v>
      </c>
      <c r="F44" s="29" t="s">
        <v>298</v>
      </c>
    </row>
    <row r="45" spans="1:6" x14ac:dyDescent="0.25">
      <c r="A45" s="23" t="s">
        <v>141</v>
      </c>
      <c r="B45" s="23" t="s">
        <v>302</v>
      </c>
      <c r="C45" s="23" t="s">
        <v>406</v>
      </c>
      <c r="D45" s="23" t="s">
        <v>142</v>
      </c>
      <c r="E45" s="23" t="s">
        <v>18</v>
      </c>
      <c r="F45" s="23" t="s">
        <v>320</v>
      </c>
    </row>
    <row r="46" spans="1:6" x14ac:dyDescent="0.25">
      <c r="A46" s="29" t="s">
        <v>141</v>
      </c>
      <c r="B46" s="29" t="s">
        <v>311</v>
      </c>
      <c r="C46" s="29" t="s">
        <v>398</v>
      </c>
      <c r="D46" s="29" t="s">
        <v>156</v>
      </c>
      <c r="E46" s="29" t="s">
        <v>18</v>
      </c>
      <c r="F46" s="29" t="s">
        <v>298</v>
      </c>
    </row>
    <row r="47" spans="1:6" x14ac:dyDescent="0.25">
      <c r="A47" s="23" t="s">
        <v>141</v>
      </c>
      <c r="B47" s="23" t="s">
        <v>311</v>
      </c>
      <c r="C47" s="23" t="s">
        <v>399</v>
      </c>
      <c r="D47" s="23" t="s">
        <v>157</v>
      </c>
      <c r="E47" s="23" t="s">
        <v>18</v>
      </c>
      <c r="F47" s="23" t="s">
        <v>320</v>
      </c>
    </row>
    <row r="48" spans="1:6" x14ac:dyDescent="0.25">
      <c r="A48" s="29" t="s">
        <v>141</v>
      </c>
      <c r="B48" s="29" t="s">
        <v>311</v>
      </c>
      <c r="C48" s="29" t="s">
        <v>403</v>
      </c>
      <c r="D48" s="29" t="s">
        <v>158</v>
      </c>
      <c r="E48" s="29" t="s">
        <v>18</v>
      </c>
      <c r="F48" s="29" t="s">
        <v>304</v>
      </c>
    </row>
    <row r="49" spans="1:6" x14ac:dyDescent="0.25">
      <c r="A49" s="23" t="s">
        <v>141</v>
      </c>
      <c r="B49" s="23" t="s">
        <v>311</v>
      </c>
      <c r="C49" s="23" t="s">
        <v>393</v>
      </c>
      <c r="D49" s="23" t="s">
        <v>155</v>
      </c>
      <c r="E49" s="23" t="s">
        <v>18</v>
      </c>
      <c r="F49" s="23" t="s">
        <v>303</v>
      </c>
    </row>
    <row r="50" spans="1:6" x14ac:dyDescent="0.25">
      <c r="A50" s="29" t="s">
        <v>141</v>
      </c>
      <c r="B50" s="29" t="s">
        <v>311</v>
      </c>
      <c r="C50" s="29" t="s">
        <v>394</v>
      </c>
      <c r="D50" s="29" t="s">
        <v>154</v>
      </c>
      <c r="E50" s="29" t="s">
        <v>18</v>
      </c>
      <c r="F50" s="29" t="s">
        <v>319</v>
      </c>
    </row>
    <row r="51" spans="1:6" x14ac:dyDescent="0.25">
      <c r="A51" s="23" t="s">
        <v>141</v>
      </c>
      <c r="B51" s="23" t="s">
        <v>311</v>
      </c>
      <c r="C51" s="23" t="s">
        <v>36</v>
      </c>
      <c r="D51" s="23" t="s">
        <v>150</v>
      </c>
      <c r="E51" s="23" t="s">
        <v>18</v>
      </c>
      <c r="F51" s="23" t="s">
        <v>307</v>
      </c>
    </row>
    <row r="52" spans="1:6" x14ac:dyDescent="0.25">
      <c r="A52" s="29" t="s">
        <v>141</v>
      </c>
      <c r="B52" s="29" t="s">
        <v>311</v>
      </c>
      <c r="C52" s="29" t="s">
        <v>37</v>
      </c>
      <c r="D52" s="29" t="s">
        <v>151</v>
      </c>
      <c r="E52" s="29" t="s">
        <v>18</v>
      </c>
      <c r="F52" s="29" t="s">
        <v>298</v>
      </c>
    </row>
    <row r="53" spans="1:6" x14ac:dyDescent="0.25">
      <c r="A53" s="23" t="s">
        <v>141</v>
      </c>
      <c r="B53" s="23" t="s">
        <v>311</v>
      </c>
      <c r="C53" s="23" t="s">
        <v>38</v>
      </c>
      <c r="D53" s="23" t="s">
        <v>152</v>
      </c>
      <c r="E53" s="23" t="s">
        <v>19</v>
      </c>
      <c r="F53" s="23" t="s">
        <v>321</v>
      </c>
    </row>
    <row r="54" spans="1:6" x14ac:dyDescent="0.25">
      <c r="A54" s="29" t="s">
        <v>141</v>
      </c>
      <c r="B54" s="29" t="s">
        <v>311</v>
      </c>
      <c r="C54" s="29" t="s">
        <v>39</v>
      </c>
      <c r="D54" s="29" t="s">
        <v>153</v>
      </c>
      <c r="E54" s="29" t="s">
        <v>18</v>
      </c>
      <c r="F54" s="29" t="s">
        <v>316</v>
      </c>
    </row>
    <row r="55" spans="1:6" x14ac:dyDescent="0.25">
      <c r="A55" s="23" t="s">
        <v>159</v>
      </c>
      <c r="B55" s="23" t="s">
        <v>322</v>
      </c>
      <c r="C55" s="23" t="s">
        <v>389</v>
      </c>
      <c r="D55" s="23" t="s">
        <v>160</v>
      </c>
      <c r="E55" s="23" t="s">
        <v>19</v>
      </c>
      <c r="F55" s="23" t="s">
        <v>323</v>
      </c>
    </row>
    <row r="56" spans="1:6" x14ac:dyDescent="0.25">
      <c r="A56" s="29" t="s">
        <v>159</v>
      </c>
      <c r="B56" s="29" t="s">
        <v>300</v>
      </c>
      <c r="C56" s="29" t="s">
        <v>399</v>
      </c>
      <c r="D56" s="29" t="s">
        <v>407</v>
      </c>
      <c r="E56" s="29" t="s">
        <v>19</v>
      </c>
      <c r="F56" s="29" t="s">
        <v>315</v>
      </c>
    </row>
    <row r="57" spans="1:6" x14ac:dyDescent="0.25">
      <c r="A57" s="23" t="s">
        <v>159</v>
      </c>
      <c r="B57" s="23" t="s">
        <v>302</v>
      </c>
      <c r="C57" s="23" t="s">
        <v>403</v>
      </c>
      <c r="D57" s="23" t="s">
        <v>170</v>
      </c>
      <c r="E57" s="23" t="s">
        <v>18</v>
      </c>
      <c r="F57" s="23" t="s">
        <v>316</v>
      </c>
    </row>
    <row r="58" spans="1:6" x14ac:dyDescent="0.25">
      <c r="A58" s="29" t="s">
        <v>159</v>
      </c>
      <c r="B58" s="29" t="s">
        <v>300</v>
      </c>
      <c r="C58" s="29" t="s">
        <v>400</v>
      </c>
      <c r="D58" s="29" t="s">
        <v>171</v>
      </c>
      <c r="E58" s="29" t="s">
        <v>18</v>
      </c>
      <c r="F58" s="29" t="s">
        <v>304</v>
      </c>
    </row>
    <row r="59" spans="1:6" x14ac:dyDescent="0.25">
      <c r="A59" s="23" t="s">
        <v>159</v>
      </c>
      <c r="B59" s="23" t="s">
        <v>300</v>
      </c>
      <c r="C59" s="23" t="s">
        <v>392</v>
      </c>
      <c r="D59" s="23" t="s">
        <v>167</v>
      </c>
      <c r="E59" s="23" t="s">
        <v>18</v>
      </c>
      <c r="F59" s="23" t="s">
        <v>301</v>
      </c>
    </row>
    <row r="60" spans="1:6" x14ac:dyDescent="0.25">
      <c r="A60" s="29" t="s">
        <v>159</v>
      </c>
      <c r="B60" s="29" t="s">
        <v>300</v>
      </c>
      <c r="C60" s="29" t="s">
        <v>393</v>
      </c>
      <c r="D60" s="29" t="s">
        <v>168</v>
      </c>
      <c r="E60" s="29" t="s">
        <v>18</v>
      </c>
      <c r="F60" s="29" t="s">
        <v>303</v>
      </c>
    </row>
    <row r="61" spans="1:6" x14ac:dyDescent="0.25">
      <c r="A61" s="23" t="s">
        <v>159</v>
      </c>
      <c r="B61" s="23" t="s">
        <v>300</v>
      </c>
      <c r="C61" s="23" t="s">
        <v>394</v>
      </c>
      <c r="D61" s="23" t="s">
        <v>164</v>
      </c>
      <c r="E61" s="23" t="s">
        <v>18</v>
      </c>
      <c r="F61" s="23" t="s">
        <v>306</v>
      </c>
    </row>
    <row r="62" spans="1:6" x14ac:dyDescent="0.25">
      <c r="A62" s="29" t="s">
        <v>159</v>
      </c>
      <c r="B62" s="29" t="s">
        <v>300</v>
      </c>
      <c r="C62" s="29" t="s">
        <v>390</v>
      </c>
      <c r="D62" s="29" t="s">
        <v>165</v>
      </c>
      <c r="E62" s="29" t="s">
        <v>18</v>
      </c>
      <c r="F62" s="29" t="s">
        <v>306</v>
      </c>
    </row>
    <row r="63" spans="1:6" x14ac:dyDescent="0.25">
      <c r="A63" s="23" t="s">
        <v>159</v>
      </c>
      <c r="B63" s="23" t="s">
        <v>300</v>
      </c>
      <c r="C63" s="23" t="s">
        <v>396</v>
      </c>
      <c r="D63" s="23" t="s">
        <v>166</v>
      </c>
      <c r="E63" s="23" t="s">
        <v>18</v>
      </c>
      <c r="F63" s="23" t="s">
        <v>306</v>
      </c>
    </row>
    <row r="64" spans="1:6" x14ac:dyDescent="0.25">
      <c r="A64" s="29" t="s">
        <v>159</v>
      </c>
      <c r="B64" s="29" t="s">
        <v>300</v>
      </c>
      <c r="C64" s="29" t="s">
        <v>406</v>
      </c>
      <c r="D64" s="29" t="s">
        <v>161</v>
      </c>
      <c r="E64" s="29" t="s">
        <v>18</v>
      </c>
      <c r="F64" s="29" t="s">
        <v>298</v>
      </c>
    </row>
    <row r="65" spans="1:6" x14ac:dyDescent="0.25">
      <c r="A65" s="23" t="s">
        <v>159</v>
      </c>
      <c r="B65" s="23" t="s">
        <v>300</v>
      </c>
      <c r="C65" s="23" t="s">
        <v>36</v>
      </c>
      <c r="D65" s="23" t="s">
        <v>162</v>
      </c>
      <c r="E65" s="23" t="s">
        <v>18</v>
      </c>
      <c r="F65" s="23" t="s">
        <v>307</v>
      </c>
    </row>
    <row r="66" spans="1:6" x14ac:dyDescent="0.25">
      <c r="A66" s="29" t="s">
        <v>159</v>
      </c>
      <c r="B66" s="29" t="s">
        <v>300</v>
      </c>
      <c r="C66" s="29" t="s">
        <v>37</v>
      </c>
      <c r="D66" s="29" t="s">
        <v>163</v>
      </c>
      <c r="E66" s="29" t="s">
        <v>18</v>
      </c>
      <c r="F66" s="29" t="s">
        <v>316</v>
      </c>
    </row>
    <row r="67" spans="1:6" x14ac:dyDescent="0.25">
      <c r="A67" s="23" t="s">
        <v>159</v>
      </c>
      <c r="B67" s="23" t="s">
        <v>300</v>
      </c>
      <c r="C67" s="23" t="s">
        <v>38</v>
      </c>
      <c r="D67" s="23" t="s">
        <v>152</v>
      </c>
      <c r="E67" s="23" t="s">
        <v>19</v>
      </c>
      <c r="F67" s="23" t="s">
        <v>321</v>
      </c>
    </row>
    <row r="68" spans="1:6" x14ac:dyDescent="0.25">
      <c r="A68" s="29" t="s">
        <v>159</v>
      </c>
      <c r="B68" s="29" t="s">
        <v>310</v>
      </c>
      <c r="C68" s="29" t="s">
        <v>389</v>
      </c>
      <c r="D68" s="29" t="s">
        <v>173</v>
      </c>
      <c r="E68" s="29" t="s">
        <v>19</v>
      </c>
      <c r="F68" s="29" t="s">
        <v>323</v>
      </c>
    </row>
    <row r="69" spans="1:6" x14ac:dyDescent="0.25">
      <c r="A69" s="23" t="s">
        <v>159</v>
      </c>
      <c r="B69" s="23" t="s">
        <v>310</v>
      </c>
      <c r="C69" s="23" t="s">
        <v>390</v>
      </c>
      <c r="D69" s="23" t="s">
        <v>172</v>
      </c>
      <c r="E69" s="23" t="s">
        <v>18</v>
      </c>
      <c r="F69" s="23" t="s">
        <v>299</v>
      </c>
    </row>
    <row r="70" spans="1:6" x14ac:dyDescent="0.25">
      <c r="A70" s="29" t="s">
        <v>159</v>
      </c>
      <c r="B70" s="29" t="s">
        <v>311</v>
      </c>
      <c r="C70" s="29" t="s">
        <v>400</v>
      </c>
      <c r="D70" s="29" t="s">
        <v>182</v>
      </c>
      <c r="E70" s="29" t="s">
        <v>18</v>
      </c>
      <c r="F70" s="29" t="s">
        <v>306</v>
      </c>
    </row>
    <row r="71" spans="1:6" x14ac:dyDescent="0.25">
      <c r="A71" s="23" t="s">
        <v>159</v>
      </c>
      <c r="B71" s="23" t="s">
        <v>311</v>
      </c>
      <c r="C71" s="23" t="s">
        <v>392</v>
      </c>
      <c r="D71" s="23" t="s">
        <v>180</v>
      </c>
      <c r="E71" s="23" t="s">
        <v>18</v>
      </c>
      <c r="F71" s="23" t="s">
        <v>301</v>
      </c>
    </row>
    <row r="72" spans="1:6" x14ac:dyDescent="0.25">
      <c r="A72" s="29" t="s">
        <v>159</v>
      </c>
      <c r="B72" s="29" t="s">
        <v>311</v>
      </c>
      <c r="C72" s="29" t="s">
        <v>393</v>
      </c>
      <c r="D72" s="29" t="s">
        <v>181</v>
      </c>
      <c r="E72" s="29" t="s">
        <v>18</v>
      </c>
      <c r="F72" s="29" t="s">
        <v>303</v>
      </c>
    </row>
    <row r="73" spans="1:6" x14ac:dyDescent="0.25">
      <c r="A73" s="23" t="s">
        <v>159</v>
      </c>
      <c r="B73" s="23" t="s">
        <v>311</v>
      </c>
      <c r="C73" s="23" t="s">
        <v>394</v>
      </c>
      <c r="D73" s="23" t="s">
        <v>177</v>
      </c>
      <c r="E73" s="23" t="s">
        <v>18</v>
      </c>
      <c r="F73" s="23" t="s">
        <v>306</v>
      </c>
    </row>
    <row r="74" spans="1:6" x14ac:dyDescent="0.25">
      <c r="A74" s="29" t="s">
        <v>159</v>
      </c>
      <c r="B74" s="29" t="s">
        <v>311</v>
      </c>
      <c r="C74" s="29" t="s">
        <v>395</v>
      </c>
      <c r="D74" s="29" t="s">
        <v>178</v>
      </c>
      <c r="E74" s="29" t="s">
        <v>18</v>
      </c>
      <c r="F74" s="29" t="s">
        <v>298</v>
      </c>
    </row>
    <row r="75" spans="1:6" x14ac:dyDescent="0.25">
      <c r="A75" s="23" t="s">
        <v>159</v>
      </c>
      <c r="B75" s="23" t="s">
        <v>311</v>
      </c>
      <c r="C75" s="23" t="s">
        <v>396</v>
      </c>
      <c r="D75" s="23" t="s">
        <v>179</v>
      </c>
      <c r="E75" s="23" t="s">
        <v>18</v>
      </c>
      <c r="F75" s="23" t="s">
        <v>306</v>
      </c>
    </row>
    <row r="76" spans="1:6" x14ac:dyDescent="0.25">
      <c r="A76" s="29" t="s">
        <v>159</v>
      </c>
      <c r="B76" s="29" t="s">
        <v>311</v>
      </c>
      <c r="C76" s="29" t="s">
        <v>36</v>
      </c>
      <c r="D76" s="29" t="s">
        <v>174</v>
      </c>
      <c r="E76" s="29" t="s">
        <v>18</v>
      </c>
      <c r="F76" s="29" t="s">
        <v>318</v>
      </c>
    </row>
    <row r="77" spans="1:6" x14ac:dyDescent="0.25">
      <c r="A77" s="23" t="s">
        <v>159</v>
      </c>
      <c r="B77" s="23" t="s">
        <v>311</v>
      </c>
      <c r="C77" s="23" t="s">
        <v>37</v>
      </c>
      <c r="D77" s="23" t="s">
        <v>175</v>
      </c>
      <c r="E77" s="23" t="s">
        <v>19</v>
      </c>
      <c r="F77" s="23" t="s">
        <v>315</v>
      </c>
    </row>
    <row r="78" spans="1:6" x14ac:dyDescent="0.25">
      <c r="A78" s="29" t="s">
        <v>159</v>
      </c>
      <c r="B78" s="29" t="s">
        <v>311</v>
      </c>
      <c r="C78" s="29" t="s">
        <v>38</v>
      </c>
      <c r="D78" s="29" t="s">
        <v>176</v>
      </c>
      <c r="E78" s="29" t="s">
        <v>19</v>
      </c>
      <c r="F78" s="29" t="s">
        <v>321</v>
      </c>
    </row>
    <row r="79" spans="1:6" x14ac:dyDescent="0.25">
      <c r="A79" s="23" t="s">
        <v>183</v>
      </c>
      <c r="B79" s="23" t="s">
        <v>324</v>
      </c>
      <c r="C79" s="23" t="s">
        <v>398</v>
      </c>
      <c r="D79" s="23" t="s">
        <v>408</v>
      </c>
      <c r="E79" s="23" t="s">
        <v>18</v>
      </c>
      <c r="F79" s="23" t="s">
        <v>299</v>
      </c>
    </row>
    <row r="80" spans="1:6" x14ac:dyDescent="0.25">
      <c r="A80" s="29" t="s">
        <v>183</v>
      </c>
      <c r="B80" s="29" t="s">
        <v>325</v>
      </c>
      <c r="C80" s="29" t="s">
        <v>393</v>
      </c>
      <c r="D80" s="29" t="s">
        <v>189</v>
      </c>
      <c r="E80" s="29" t="s">
        <v>18</v>
      </c>
      <c r="F80" s="29" t="s">
        <v>316</v>
      </c>
    </row>
    <row r="81" spans="1:6" x14ac:dyDescent="0.25">
      <c r="A81" s="23" t="s">
        <v>183</v>
      </c>
      <c r="B81" s="23" t="s">
        <v>300</v>
      </c>
      <c r="C81" s="23" t="s">
        <v>397</v>
      </c>
      <c r="D81" s="23" t="s">
        <v>187</v>
      </c>
      <c r="E81" s="23" t="s">
        <v>18</v>
      </c>
      <c r="F81" s="23" t="s">
        <v>319</v>
      </c>
    </row>
    <row r="82" spans="1:6" x14ac:dyDescent="0.25">
      <c r="A82" s="29" t="s">
        <v>183</v>
      </c>
      <c r="B82" s="29" t="s">
        <v>300</v>
      </c>
      <c r="C82" s="29" t="s">
        <v>396</v>
      </c>
      <c r="D82" s="29" t="s">
        <v>188</v>
      </c>
      <c r="E82" s="29" t="s">
        <v>18</v>
      </c>
      <c r="F82" s="29" t="s">
        <v>326</v>
      </c>
    </row>
    <row r="83" spans="1:6" x14ac:dyDescent="0.25">
      <c r="A83" s="23" t="s">
        <v>183</v>
      </c>
      <c r="B83" s="23" t="s">
        <v>300</v>
      </c>
      <c r="C83" s="23" t="s">
        <v>36</v>
      </c>
      <c r="D83" s="23" t="s">
        <v>186</v>
      </c>
      <c r="E83" s="23" t="s">
        <v>18</v>
      </c>
      <c r="F83" s="23" t="s">
        <v>307</v>
      </c>
    </row>
    <row r="84" spans="1:6" x14ac:dyDescent="0.25">
      <c r="A84" s="29" t="s">
        <v>183</v>
      </c>
      <c r="B84" s="29" t="s">
        <v>310</v>
      </c>
      <c r="C84" s="29" t="s">
        <v>38</v>
      </c>
      <c r="D84" s="29" t="s">
        <v>190</v>
      </c>
      <c r="E84" s="29" t="s">
        <v>19</v>
      </c>
      <c r="F84" s="29" t="s">
        <v>323</v>
      </c>
    </row>
    <row r="85" spans="1:6" x14ac:dyDescent="0.25">
      <c r="A85" s="23" t="s">
        <v>183</v>
      </c>
      <c r="B85" s="23" t="s">
        <v>311</v>
      </c>
      <c r="C85" s="23" t="s">
        <v>389</v>
      </c>
      <c r="D85" s="23" t="s">
        <v>195</v>
      </c>
      <c r="E85" s="23" t="s">
        <v>18</v>
      </c>
      <c r="F85" s="23" t="s">
        <v>327</v>
      </c>
    </row>
    <row r="86" spans="1:6" x14ac:dyDescent="0.25">
      <c r="A86" s="29" t="s">
        <v>183</v>
      </c>
      <c r="B86" s="29" t="s">
        <v>311</v>
      </c>
      <c r="C86" s="29" t="s">
        <v>400</v>
      </c>
      <c r="D86" s="29" t="s">
        <v>409</v>
      </c>
      <c r="E86" s="29" t="s">
        <v>18</v>
      </c>
      <c r="F86" s="29" t="s">
        <v>299</v>
      </c>
    </row>
    <row r="87" spans="1:6" x14ac:dyDescent="0.25">
      <c r="A87" s="23" t="s">
        <v>183</v>
      </c>
      <c r="B87" s="23" t="s">
        <v>311</v>
      </c>
      <c r="C87" s="23" t="s">
        <v>393</v>
      </c>
      <c r="D87" s="23" t="s">
        <v>194</v>
      </c>
      <c r="E87" s="23" t="s">
        <v>18</v>
      </c>
      <c r="F87" s="23" t="s">
        <v>316</v>
      </c>
    </row>
    <row r="88" spans="1:6" x14ac:dyDescent="0.25">
      <c r="A88" s="29" t="s">
        <v>183</v>
      </c>
      <c r="B88" s="29" t="s">
        <v>311</v>
      </c>
      <c r="C88" s="29" t="s">
        <v>397</v>
      </c>
      <c r="D88" s="29" t="s">
        <v>191</v>
      </c>
      <c r="E88" s="29" t="s">
        <v>18</v>
      </c>
      <c r="F88" s="29" t="s">
        <v>319</v>
      </c>
    </row>
    <row r="89" spans="1:6" x14ac:dyDescent="0.25">
      <c r="A89" s="23" t="s">
        <v>183</v>
      </c>
      <c r="B89" s="23" t="s">
        <v>311</v>
      </c>
      <c r="C89" s="23" t="s">
        <v>390</v>
      </c>
      <c r="D89" s="23" t="s">
        <v>192</v>
      </c>
      <c r="E89" s="23" t="s">
        <v>18</v>
      </c>
      <c r="F89" s="23" t="s">
        <v>326</v>
      </c>
    </row>
    <row r="90" spans="1:6" x14ac:dyDescent="0.25">
      <c r="A90" s="29" t="s">
        <v>183</v>
      </c>
      <c r="B90" s="29" t="s">
        <v>311</v>
      </c>
      <c r="C90" s="29" t="s">
        <v>395</v>
      </c>
      <c r="D90" s="29" t="s">
        <v>193</v>
      </c>
      <c r="E90" s="29" t="s">
        <v>18</v>
      </c>
      <c r="F90" s="29" t="s">
        <v>328</v>
      </c>
    </row>
    <row r="91" spans="1:6" x14ac:dyDescent="0.25">
      <c r="A91" s="23" t="s">
        <v>197</v>
      </c>
      <c r="B91" s="23" t="s">
        <v>329</v>
      </c>
      <c r="C91" s="23" t="s">
        <v>389</v>
      </c>
      <c r="D91" s="23" t="s">
        <v>227</v>
      </c>
      <c r="E91" s="23" t="s">
        <v>18</v>
      </c>
      <c r="F91" s="23" t="s">
        <v>330</v>
      </c>
    </row>
    <row r="92" spans="1:6" x14ac:dyDescent="0.25">
      <c r="A92" s="29" t="s">
        <v>197</v>
      </c>
      <c r="B92" s="29" t="s">
        <v>331</v>
      </c>
      <c r="C92" s="29" t="s">
        <v>398</v>
      </c>
      <c r="D92" s="29" t="s">
        <v>217</v>
      </c>
      <c r="E92" s="29" t="s">
        <v>19</v>
      </c>
      <c r="F92" s="29"/>
    </row>
    <row r="93" spans="1:6" x14ac:dyDescent="0.25">
      <c r="A93" s="23" t="s">
        <v>197</v>
      </c>
      <c r="B93" s="23" t="s">
        <v>331</v>
      </c>
      <c r="C93" s="23" t="s">
        <v>399</v>
      </c>
      <c r="D93" s="23" t="s">
        <v>410</v>
      </c>
      <c r="E93" s="23" t="s">
        <v>18</v>
      </c>
      <c r="F93" s="23" t="s">
        <v>333</v>
      </c>
    </row>
    <row r="94" spans="1:6" x14ac:dyDescent="0.25">
      <c r="A94" s="29" t="s">
        <v>197</v>
      </c>
      <c r="B94" s="29" t="s">
        <v>334</v>
      </c>
      <c r="C94" s="29" t="s">
        <v>403</v>
      </c>
      <c r="D94" s="29" t="s">
        <v>219</v>
      </c>
      <c r="E94" s="29" t="s">
        <v>18</v>
      </c>
      <c r="F94" s="29" t="s">
        <v>335</v>
      </c>
    </row>
    <row r="95" spans="1:6" x14ac:dyDescent="0.25">
      <c r="A95" s="23" t="s">
        <v>197</v>
      </c>
      <c r="B95" s="23" t="s">
        <v>329</v>
      </c>
      <c r="C95" s="23" t="s">
        <v>403</v>
      </c>
      <c r="D95" s="23" t="s">
        <v>228</v>
      </c>
      <c r="E95" s="23" t="s">
        <v>20</v>
      </c>
      <c r="F95" s="23" t="s">
        <v>336</v>
      </c>
    </row>
    <row r="96" spans="1:6" x14ac:dyDescent="0.25">
      <c r="A96" s="29" t="s">
        <v>197</v>
      </c>
      <c r="B96" s="29" t="s">
        <v>331</v>
      </c>
      <c r="C96" s="29" t="s">
        <v>400</v>
      </c>
      <c r="D96" s="29" t="s">
        <v>220</v>
      </c>
      <c r="E96" s="29" t="s">
        <v>18</v>
      </c>
      <c r="F96" s="29" t="s">
        <v>337</v>
      </c>
    </row>
    <row r="97" spans="1:6" x14ac:dyDescent="0.25">
      <c r="A97" s="23" t="s">
        <v>197</v>
      </c>
      <c r="B97" s="23" t="s">
        <v>338</v>
      </c>
      <c r="C97" s="23" t="s">
        <v>57</v>
      </c>
      <c r="D97" s="23" t="s">
        <v>411</v>
      </c>
      <c r="E97" s="23" t="s">
        <v>19</v>
      </c>
      <c r="F97" s="23" t="s">
        <v>339</v>
      </c>
    </row>
    <row r="98" spans="1:6" x14ac:dyDescent="0.25">
      <c r="A98" s="29" t="s">
        <v>197</v>
      </c>
      <c r="B98" s="29" t="s">
        <v>331</v>
      </c>
      <c r="C98" s="29" t="s">
        <v>58</v>
      </c>
      <c r="D98" s="29" t="s">
        <v>222</v>
      </c>
      <c r="E98" s="29" t="s">
        <v>18</v>
      </c>
      <c r="F98" s="29"/>
    </row>
    <row r="99" spans="1:6" x14ac:dyDescent="0.25">
      <c r="A99" s="23" t="s">
        <v>197</v>
      </c>
      <c r="B99" s="23" t="s">
        <v>340</v>
      </c>
      <c r="C99" s="23" t="s">
        <v>59</v>
      </c>
      <c r="D99" s="23" t="s">
        <v>223</v>
      </c>
      <c r="E99" s="23" t="s">
        <v>18</v>
      </c>
      <c r="F99" s="23"/>
    </row>
    <row r="100" spans="1:6" x14ac:dyDescent="0.25">
      <c r="A100" s="29" t="s">
        <v>197</v>
      </c>
      <c r="B100" s="29" t="s">
        <v>331</v>
      </c>
      <c r="C100" s="29" t="s">
        <v>401</v>
      </c>
      <c r="D100" s="29" t="s">
        <v>213</v>
      </c>
      <c r="E100" s="29" t="s">
        <v>18</v>
      </c>
      <c r="F100" s="29"/>
    </row>
    <row r="101" spans="1:6" x14ac:dyDescent="0.25">
      <c r="A101" s="23" t="s">
        <v>197</v>
      </c>
      <c r="B101" s="23" t="s">
        <v>334</v>
      </c>
      <c r="C101" s="23" t="s">
        <v>412</v>
      </c>
      <c r="D101" s="23" t="s">
        <v>214</v>
      </c>
      <c r="E101" s="23" t="s">
        <v>18</v>
      </c>
      <c r="F101" s="23" t="s">
        <v>330</v>
      </c>
    </row>
    <row r="102" spans="1:6" x14ac:dyDescent="0.25">
      <c r="A102" s="29" t="s">
        <v>197</v>
      </c>
      <c r="B102" s="29" t="s">
        <v>334</v>
      </c>
      <c r="C102" s="29" t="s">
        <v>392</v>
      </c>
      <c r="D102" s="29" t="s">
        <v>215</v>
      </c>
      <c r="E102" s="29" t="s">
        <v>18</v>
      </c>
      <c r="F102" s="29" t="s">
        <v>335</v>
      </c>
    </row>
    <row r="103" spans="1:6" x14ac:dyDescent="0.25">
      <c r="A103" s="23" t="s">
        <v>197</v>
      </c>
      <c r="B103" s="23" t="s">
        <v>340</v>
      </c>
      <c r="C103" s="23" t="s">
        <v>393</v>
      </c>
      <c r="D103" s="23" t="s">
        <v>413</v>
      </c>
      <c r="E103" s="23" t="s">
        <v>18</v>
      </c>
      <c r="F103" s="23" t="s">
        <v>330</v>
      </c>
    </row>
    <row r="104" spans="1:6" x14ac:dyDescent="0.25">
      <c r="A104" s="29" t="s">
        <v>197</v>
      </c>
      <c r="B104" s="29" t="s">
        <v>331</v>
      </c>
      <c r="C104" s="29" t="s">
        <v>394</v>
      </c>
      <c r="D104" s="29" t="s">
        <v>208</v>
      </c>
      <c r="E104" s="29" t="s">
        <v>18</v>
      </c>
      <c r="F104" s="29" t="s">
        <v>341</v>
      </c>
    </row>
    <row r="105" spans="1:6" x14ac:dyDescent="0.25">
      <c r="A105" s="23" t="s">
        <v>197</v>
      </c>
      <c r="B105" s="23" t="s">
        <v>334</v>
      </c>
      <c r="C105" s="23" t="s">
        <v>390</v>
      </c>
      <c r="D105" s="23" t="s">
        <v>210</v>
      </c>
      <c r="E105" s="23" t="s">
        <v>20</v>
      </c>
      <c r="F105" s="23" t="s">
        <v>336</v>
      </c>
    </row>
    <row r="106" spans="1:6" x14ac:dyDescent="0.25">
      <c r="A106" s="29" t="s">
        <v>197</v>
      </c>
      <c r="B106" s="29" t="s">
        <v>334</v>
      </c>
      <c r="C106" s="29" t="s">
        <v>395</v>
      </c>
      <c r="D106" s="29" t="s">
        <v>211</v>
      </c>
      <c r="E106" s="29" t="s">
        <v>19</v>
      </c>
      <c r="F106" s="29" t="s">
        <v>342</v>
      </c>
    </row>
    <row r="107" spans="1:6" x14ac:dyDescent="0.25">
      <c r="A107" s="23" t="s">
        <v>197</v>
      </c>
      <c r="B107" s="23" t="s">
        <v>329</v>
      </c>
      <c r="C107" s="23" t="s">
        <v>395</v>
      </c>
      <c r="D107" s="23" t="s">
        <v>226</v>
      </c>
      <c r="E107" s="23" t="s">
        <v>18</v>
      </c>
      <c r="F107" s="23" t="s">
        <v>335</v>
      </c>
    </row>
    <row r="108" spans="1:6" x14ac:dyDescent="0.25">
      <c r="A108" s="29" t="s">
        <v>197</v>
      </c>
      <c r="B108" s="29" t="s">
        <v>340</v>
      </c>
      <c r="C108" s="29" t="s">
        <v>396</v>
      </c>
      <c r="D108" s="29" t="s">
        <v>212</v>
      </c>
      <c r="E108" s="29" t="s">
        <v>18</v>
      </c>
      <c r="F108" s="29" t="s">
        <v>343</v>
      </c>
    </row>
    <row r="109" spans="1:6" x14ac:dyDescent="0.25">
      <c r="A109" s="23" t="s">
        <v>197</v>
      </c>
      <c r="B109" s="23" t="s">
        <v>340</v>
      </c>
      <c r="C109" s="23" t="s">
        <v>406</v>
      </c>
      <c r="D109" s="23" t="s">
        <v>200</v>
      </c>
      <c r="E109" s="23" t="s">
        <v>18</v>
      </c>
      <c r="F109" s="23" t="s">
        <v>330</v>
      </c>
    </row>
    <row r="110" spans="1:6" x14ac:dyDescent="0.25">
      <c r="A110" s="29" t="s">
        <v>197</v>
      </c>
      <c r="B110" s="29" t="s">
        <v>338</v>
      </c>
      <c r="C110" s="29" t="s">
        <v>36</v>
      </c>
      <c r="D110" s="29" t="s">
        <v>414</v>
      </c>
      <c r="E110" s="29" t="s">
        <v>19</v>
      </c>
      <c r="F110" s="29"/>
    </row>
    <row r="111" spans="1:6" x14ac:dyDescent="0.25">
      <c r="A111" s="23" t="s">
        <v>197</v>
      </c>
      <c r="B111" s="23" t="s">
        <v>331</v>
      </c>
      <c r="C111" s="23" t="s">
        <v>37</v>
      </c>
      <c r="D111" s="23" t="s">
        <v>415</v>
      </c>
      <c r="E111" s="23" t="s">
        <v>18</v>
      </c>
      <c r="F111" s="23" t="s">
        <v>330</v>
      </c>
    </row>
    <row r="112" spans="1:6" x14ac:dyDescent="0.25">
      <c r="A112" s="29" t="s">
        <v>197</v>
      </c>
      <c r="B112" s="29" t="s">
        <v>331</v>
      </c>
      <c r="C112" s="29" t="s">
        <v>38</v>
      </c>
      <c r="D112" s="29" t="s">
        <v>416</v>
      </c>
      <c r="E112" s="29" t="s">
        <v>19</v>
      </c>
      <c r="F112" s="29" t="s">
        <v>330</v>
      </c>
    </row>
    <row r="113" spans="1:6" x14ac:dyDescent="0.25">
      <c r="A113" s="23" t="s">
        <v>197</v>
      </c>
      <c r="B113" s="23" t="s">
        <v>331</v>
      </c>
      <c r="C113" s="23" t="s">
        <v>417</v>
      </c>
      <c r="D113" s="23" t="s">
        <v>207</v>
      </c>
      <c r="E113" s="23" t="s">
        <v>20</v>
      </c>
      <c r="F113" s="23" t="s">
        <v>344</v>
      </c>
    </row>
    <row r="114" spans="1:6" x14ac:dyDescent="0.25">
      <c r="A114" s="29" t="s">
        <v>197</v>
      </c>
      <c r="B114" s="29" t="s">
        <v>331</v>
      </c>
      <c r="C114" s="29" t="s">
        <v>418</v>
      </c>
      <c r="D114" s="29" t="s">
        <v>206</v>
      </c>
      <c r="E114" s="29" t="s">
        <v>18</v>
      </c>
      <c r="F114" s="29" t="s">
        <v>345</v>
      </c>
    </row>
    <row r="115" spans="1:6" x14ac:dyDescent="0.25">
      <c r="A115" s="23" t="s">
        <v>197</v>
      </c>
      <c r="B115" s="23" t="s">
        <v>329</v>
      </c>
      <c r="C115" s="23" t="s">
        <v>69</v>
      </c>
      <c r="D115" s="23" t="s">
        <v>224</v>
      </c>
      <c r="E115" s="23" t="s">
        <v>20</v>
      </c>
      <c r="F115" s="23" t="s">
        <v>330</v>
      </c>
    </row>
    <row r="116" spans="1:6" x14ac:dyDescent="0.25">
      <c r="A116" s="29" t="s">
        <v>197</v>
      </c>
      <c r="B116" s="29" t="s">
        <v>329</v>
      </c>
      <c r="C116" s="29" t="s">
        <v>40</v>
      </c>
      <c r="D116" s="29" t="s">
        <v>225</v>
      </c>
      <c r="E116" s="29" t="s">
        <v>20</v>
      </c>
      <c r="F116" s="29"/>
    </row>
    <row r="117" spans="1:6" x14ac:dyDescent="0.25">
      <c r="A117" s="23" t="s">
        <v>197</v>
      </c>
      <c r="B117" s="23" t="s">
        <v>346</v>
      </c>
      <c r="C117" s="23" t="s">
        <v>389</v>
      </c>
      <c r="D117" s="23" t="s">
        <v>238</v>
      </c>
      <c r="E117" s="23" t="s">
        <v>19</v>
      </c>
      <c r="F117" s="23" t="s">
        <v>342</v>
      </c>
    </row>
    <row r="118" spans="1:6" x14ac:dyDescent="0.25">
      <c r="A118" s="29" t="s">
        <v>197</v>
      </c>
      <c r="B118" s="29" t="s">
        <v>347</v>
      </c>
      <c r="C118" s="29" t="s">
        <v>389</v>
      </c>
      <c r="D118" s="29" t="s">
        <v>243</v>
      </c>
      <c r="E118" s="29" t="s">
        <v>19</v>
      </c>
      <c r="F118" s="29"/>
    </row>
    <row r="119" spans="1:6" x14ac:dyDescent="0.25">
      <c r="A119" s="23" t="s">
        <v>197</v>
      </c>
      <c r="B119" s="23" t="s">
        <v>348</v>
      </c>
      <c r="C119" s="23" t="s">
        <v>398</v>
      </c>
      <c r="D119" s="23" t="s">
        <v>239</v>
      </c>
      <c r="E119" s="23" t="s">
        <v>18</v>
      </c>
      <c r="F119" s="23"/>
    </row>
    <row r="120" spans="1:6" x14ac:dyDescent="0.25">
      <c r="A120" s="29" t="s">
        <v>197</v>
      </c>
      <c r="B120" s="29" t="s">
        <v>348</v>
      </c>
      <c r="C120" s="29" t="s">
        <v>403</v>
      </c>
      <c r="D120" s="29" t="s">
        <v>419</v>
      </c>
      <c r="E120" s="29" t="s">
        <v>18</v>
      </c>
      <c r="F120" s="29" t="s">
        <v>330</v>
      </c>
    </row>
    <row r="121" spans="1:6" x14ac:dyDescent="0.25">
      <c r="A121" s="23" t="s">
        <v>197</v>
      </c>
      <c r="B121" s="23" t="s">
        <v>348</v>
      </c>
      <c r="C121" s="23" t="s">
        <v>400</v>
      </c>
      <c r="D121" s="23" t="s">
        <v>420</v>
      </c>
      <c r="E121" s="23" t="s">
        <v>18</v>
      </c>
      <c r="F121" s="23" t="s">
        <v>330</v>
      </c>
    </row>
    <row r="122" spans="1:6" x14ac:dyDescent="0.25">
      <c r="A122" s="29" t="s">
        <v>197</v>
      </c>
      <c r="B122" s="29" t="s">
        <v>348</v>
      </c>
      <c r="C122" s="29" t="s">
        <v>58</v>
      </c>
      <c r="D122" s="29" t="s">
        <v>421</v>
      </c>
      <c r="E122" s="29" t="s">
        <v>18</v>
      </c>
      <c r="F122" s="29" t="s">
        <v>349</v>
      </c>
    </row>
    <row r="123" spans="1:6" x14ac:dyDescent="0.25">
      <c r="A123" s="23" t="s">
        <v>197</v>
      </c>
      <c r="B123" s="23" t="s">
        <v>348</v>
      </c>
      <c r="C123" s="23" t="s">
        <v>401</v>
      </c>
      <c r="D123" s="23" t="s">
        <v>235</v>
      </c>
      <c r="E123" s="23" t="s">
        <v>18</v>
      </c>
      <c r="F123" s="23"/>
    </row>
    <row r="124" spans="1:6" x14ac:dyDescent="0.25">
      <c r="A124" s="29" t="s">
        <v>197</v>
      </c>
      <c r="B124" s="29" t="s">
        <v>348</v>
      </c>
      <c r="C124" s="29" t="s">
        <v>402</v>
      </c>
      <c r="D124" s="29" t="s">
        <v>422</v>
      </c>
      <c r="E124" s="29" t="s">
        <v>18</v>
      </c>
      <c r="F124" s="29" t="s">
        <v>330</v>
      </c>
    </row>
    <row r="125" spans="1:6" x14ac:dyDescent="0.25">
      <c r="A125" s="23" t="s">
        <v>197</v>
      </c>
      <c r="B125" s="23" t="s">
        <v>348</v>
      </c>
      <c r="C125" s="23" t="s">
        <v>392</v>
      </c>
      <c r="D125" s="23" t="s">
        <v>423</v>
      </c>
      <c r="E125" s="23" t="s">
        <v>18</v>
      </c>
      <c r="F125" s="23" t="s">
        <v>335</v>
      </c>
    </row>
    <row r="126" spans="1:6" x14ac:dyDescent="0.25">
      <c r="A126" s="29" t="s">
        <v>197</v>
      </c>
      <c r="B126" s="29" t="s">
        <v>348</v>
      </c>
      <c r="C126" s="29" t="s">
        <v>394</v>
      </c>
      <c r="D126" s="29" t="s">
        <v>232</v>
      </c>
      <c r="E126" s="29" t="s">
        <v>19</v>
      </c>
      <c r="F126" s="29" t="s">
        <v>342</v>
      </c>
    </row>
    <row r="127" spans="1:6" x14ac:dyDescent="0.25">
      <c r="A127" s="23" t="s">
        <v>197</v>
      </c>
      <c r="B127" s="23" t="s">
        <v>348</v>
      </c>
      <c r="C127" s="23" t="s">
        <v>390</v>
      </c>
      <c r="D127" s="23" t="s">
        <v>233</v>
      </c>
      <c r="E127" s="23" t="s">
        <v>19</v>
      </c>
      <c r="F127" s="23" t="s">
        <v>342</v>
      </c>
    </row>
    <row r="128" spans="1:6" x14ac:dyDescent="0.25">
      <c r="A128" s="29" t="s">
        <v>197</v>
      </c>
      <c r="B128" s="29" t="s">
        <v>348</v>
      </c>
      <c r="C128" s="29" t="s">
        <v>395</v>
      </c>
      <c r="D128" s="29" t="s">
        <v>234</v>
      </c>
      <c r="E128" s="29" t="s">
        <v>19</v>
      </c>
      <c r="F128" s="29" t="s">
        <v>342</v>
      </c>
    </row>
    <row r="129" spans="1:6" x14ac:dyDescent="0.25">
      <c r="A129" s="23" t="s">
        <v>197</v>
      </c>
      <c r="B129" s="23" t="s">
        <v>348</v>
      </c>
      <c r="C129" s="23" t="s">
        <v>37</v>
      </c>
      <c r="D129" s="23" t="s">
        <v>424</v>
      </c>
      <c r="E129" s="23" t="s">
        <v>20</v>
      </c>
      <c r="F129" s="23" t="s">
        <v>350</v>
      </c>
    </row>
    <row r="130" spans="1:6" x14ac:dyDescent="0.25">
      <c r="A130" s="29" t="s">
        <v>197</v>
      </c>
      <c r="B130" s="29" t="s">
        <v>348</v>
      </c>
      <c r="C130" s="29" t="s">
        <v>70</v>
      </c>
      <c r="D130" s="29" t="s">
        <v>231</v>
      </c>
      <c r="E130" s="29" t="s">
        <v>20</v>
      </c>
      <c r="F130" s="29" t="s">
        <v>351</v>
      </c>
    </row>
    <row r="131" spans="1:6" x14ac:dyDescent="0.25">
      <c r="A131" s="23" t="s">
        <v>244</v>
      </c>
      <c r="B131" s="23" t="s">
        <v>340</v>
      </c>
      <c r="C131" s="23" t="s">
        <v>52</v>
      </c>
      <c r="D131" s="23" t="s">
        <v>262</v>
      </c>
      <c r="E131" s="23" t="s">
        <v>18</v>
      </c>
      <c r="F131" s="23" t="s">
        <v>330</v>
      </c>
    </row>
    <row r="132" spans="1:6" x14ac:dyDescent="0.25">
      <c r="A132" s="29" t="s">
        <v>244</v>
      </c>
      <c r="B132" s="29" t="s">
        <v>340</v>
      </c>
      <c r="C132" s="29" t="s">
        <v>398</v>
      </c>
      <c r="D132" s="29" t="s">
        <v>263</v>
      </c>
      <c r="E132" s="29" t="s">
        <v>18</v>
      </c>
      <c r="F132" s="29" t="s">
        <v>352</v>
      </c>
    </row>
    <row r="133" spans="1:6" x14ac:dyDescent="0.25">
      <c r="A133" s="23" t="s">
        <v>244</v>
      </c>
      <c r="B133" s="23" t="s">
        <v>340</v>
      </c>
      <c r="C133" s="23" t="s">
        <v>58</v>
      </c>
      <c r="D133" s="23" t="s">
        <v>268</v>
      </c>
      <c r="E133" s="23" t="s">
        <v>18</v>
      </c>
      <c r="F133" s="23" t="s">
        <v>352</v>
      </c>
    </row>
    <row r="134" spans="1:6" x14ac:dyDescent="0.25">
      <c r="A134" s="29" t="s">
        <v>244</v>
      </c>
      <c r="B134" s="29" t="s">
        <v>340</v>
      </c>
      <c r="C134" s="29" t="s">
        <v>393</v>
      </c>
      <c r="D134" s="29" t="s">
        <v>425</v>
      </c>
      <c r="E134" s="29" t="s">
        <v>18</v>
      </c>
      <c r="F134" s="29" t="s">
        <v>353</v>
      </c>
    </row>
    <row r="135" spans="1:6" x14ac:dyDescent="0.25">
      <c r="A135" s="23" t="s">
        <v>244</v>
      </c>
      <c r="B135" s="23" t="s">
        <v>340</v>
      </c>
      <c r="C135" s="23" t="s">
        <v>390</v>
      </c>
      <c r="D135" s="23" t="s">
        <v>254</v>
      </c>
      <c r="E135" s="23" t="s">
        <v>426</v>
      </c>
      <c r="F135" s="23" t="s">
        <v>355</v>
      </c>
    </row>
    <row r="136" spans="1:6" x14ac:dyDescent="0.25">
      <c r="A136" s="29" t="s">
        <v>244</v>
      </c>
      <c r="B136" s="29" t="s">
        <v>340</v>
      </c>
      <c r="C136" s="29" t="s">
        <v>406</v>
      </c>
      <c r="D136" s="29" t="s">
        <v>427</v>
      </c>
      <c r="E136" s="29" t="s">
        <v>428</v>
      </c>
      <c r="F136" s="29"/>
    </row>
    <row r="137" spans="1:6" x14ac:dyDescent="0.25">
      <c r="A137" s="23" t="s">
        <v>244</v>
      </c>
      <c r="B137" s="23" t="s">
        <v>340</v>
      </c>
      <c r="C137" s="23" t="s">
        <v>36</v>
      </c>
      <c r="D137" s="23" t="s">
        <v>249</v>
      </c>
      <c r="E137" s="23" t="s">
        <v>428</v>
      </c>
      <c r="F137" s="23"/>
    </row>
    <row r="138" spans="1:6" x14ac:dyDescent="0.25">
      <c r="A138" s="29" t="s">
        <v>244</v>
      </c>
      <c r="B138" s="29" t="s">
        <v>340</v>
      </c>
      <c r="C138" s="29" t="s">
        <v>37</v>
      </c>
      <c r="D138" s="29" t="s">
        <v>429</v>
      </c>
      <c r="E138" s="29" t="s">
        <v>428</v>
      </c>
      <c r="F138" s="29" t="s">
        <v>357</v>
      </c>
    </row>
    <row r="139" spans="1:6" x14ac:dyDescent="0.25">
      <c r="A139" s="23" t="s">
        <v>244</v>
      </c>
      <c r="B139" s="23" t="s">
        <v>340</v>
      </c>
      <c r="C139" s="23" t="s">
        <v>38</v>
      </c>
      <c r="D139" s="23" t="s">
        <v>430</v>
      </c>
      <c r="E139" s="23" t="s">
        <v>428</v>
      </c>
      <c r="F139" s="23" t="s">
        <v>358</v>
      </c>
    </row>
    <row r="140" spans="1:6" x14ac:dyDescent="0.25">
      <c r="A140" s="29" t="s">
        <v>244</v>
      </c>
      <c r="B140" s="29" t="s">
        <v>340</v>
      </c>
      <c r="C140" s="29" t="s">
        <v>431</v>
      </c>
      <c r="D140" s="29" t="s">
        <v>267</v>
      </c>
      <c r="E140" s="29" t="s">
        <v>428</v>
      </c>
      <c r="F140" s="29" t="s">
        <v>359</v>
      </c>
    </row>
    <row r="141" spans="1:6" x14ac:dyDescent="0.25">
      <c r="A141" s="23" t="s">
        <v>244</v>
      </c>
      <c r="B141" s="23" t="s">
        <v>340</v>
      </c>
      <c r="C141" s="23" t="s">
        <v>34</v>
      </c>
      <c r="D141" s="23" t="s">
        <v>432</v>
      </c>
      <c r="E141" s="23" t="s">
        <v>428</v>
      </c>
      <c r="F141" s="23" t="s">
        <v>360</v>
      </c>
    </row>
    <row r="142" spans="1:6" x14ac:dyDescent="0.25">
      <c r="A142" s="29" t="s">
        <v>244</v>
      </c>
      <c r="B142" s="29" t="s">
        <v>340</v>
      </c>
      <c r="C142" s="29" t="s">
        <v>418</v>
      </c>
      <c r="D142" s="29" t="s">
        <v>433</v>
      </c>
      <c r="E142" s="29" t="s">
        <v>18</v>
      </c>
      <c r="F142" s="29" t="s">
        <v>361</v>
      </c>
    </row>
    <row r="143" spans="1:6" x14ac:dyDescent="0.25">
      <c r="A143" s="23" t="s">
        <v>244</v>
      </c>
      <c r="B143" s="23" t="s">
        <v>331</v>
      </c>
      <c r="C143" s="23" t="s">
        <v>399</v>
      </c>
      <c r="D143" s="23" t="s">
        <v>434</v>
      </c>
      <c r="E143" s="23" t="s">
        <v>18</v>
      </c>
      <c r="F143" s="23" t="s">
        <v>362</v>
      </c>
    </row>
    <row r="144" spans="1:6" x14ac:dyDescent="0.25">
      <c r="A144" s="29" t="s">
        <v>244</v>
      </c>
      <c r="B144" s="29" t="s">
        <v>348</v>
      </c>
      <c r="C144" s="29" t="s">
        <v>399</v>
      </c>
      <c r="D144" s="29" t="s">
        <v>435</v>
      </c>
      <c r="E144" s="29" t="s">
        <v>18</v>
      </c>
      <c r="F144" s="29" t="s">
        <v>363</v>
      </c>
    </row>
    <row r="145" spans="1:6" x14ac:dyDescent="0.25">
      <c r="A145" s="23" t="s">
        <v>244</v>
      </c>
      <c r="B145" s="23" t="s">
        <v>331</v>
      </c>
      <c r="C145" s="23" t="s">
        <v>403</v>
      </c>
      <c r="D145" s="23" t="s">
        <v>265</v>
      </c>
      <c r="E145" s="23" t="s">
        <v>18</v>
      </c>
      <c r="F145" s="23" t="s">
        <v>364</v>
      </c>
    </row>
    <row r="146" spans="1:6" x14ac:dyDescent="0.25">
      <c r="A146" s="29" t="s">
        <v>244</v>
      </c>
      <c r="B146" s="29" t="s">
        <v>348</v>
      </c>
      <c r="C146" s="29" t="s">
        <v>403</v>
      </c>
      <c r="D146" s="29" t="s">
        <v>277</v>
      </c>
      <c r="E146" s="29" t="s">
        <v>18</v>
      </c>
      <c r="F146" s="29"/>
    </row>
    <row r="147" spans="1:6" x14ac:dyDescent="0.25">
      <c r="A147" s="23" t="s">
        <v>244</v>
      </c>
      <c r="B147" s="23" t="s">
        <v>331</v>
      </c>
      <c r="C147" s="23" t="s">
        <v>400</v>
      </c>
      <c r="D147" s="23" t="s">
        <v>266</v>
      </c>
      <c r="E147" s="23" t="s">
        <v>18</v>
      </c>
      <c r="F147" s="23" t="s">
        <v>365</v>
      </c>
    </row>
    <row r="148" spans="1:6" x14ac:dyDescent="0.25">
      <c r="A148" s="29" t="s">
        <v>244</v>
      </c>
      <c r="B148" s="29" t="s">
        <v>348</v>
      </c>
      <c r="C148" s="29" t="s">
        <v>56</v>
      </c>
      <c r="D148" s="29" t="s">
        <v>278</v>
      </c>
      <c r="E148" s="29" t="s">
        <v>18</v>
      </c>
      <c r="F148" s="29"/>
    </row>
    <row r="149" spans="1:6" x14ac:dyDescent="0.25">
      <c r="A149" s="23" t="s">
        <v>244</v>
      </c>
      <c r="B149" s="23" t="s">
        <v>334</v>
      </c>
      <c r="C149" s="23" t="s">
        <v>59</v>
      </c>
      <c r="D149" s="23" t="s">
        <v>269</v>
      </c>
      <c r="E149" s="23" t="s">
        <v>18</v>
      </c>
      <c r="F149" s="23"/>
    </row>
    <row r="150" spans="1:6" x14ac:dyDescent="0.25">
      <c r="A150" s="29" t="s">
        <v>244</v>
      </c>
      <c r="B150" s="29" t="s">
        <v>366</v>
      </c>
      <c r="C150" s="29" t="s">
        <v>59</v>
      </c>
      <c r="D150" s="29" t="s">
        <v>436</v>
      </c>
      <c r="E150" s="29" t="s">
        <v>18</v>
      </c>
      <c r="F150" s="29"/>
    </row>
    <row r="151" spans="1:6" x14ac:dyDescent="0.25">
      <c r="A151" s="23" t="s">
        <v>244</v>
      </c>
      <c r="B151" s="23" t="s">
        <v>331</v>
      </c>
      <c r="C151" s="23" t="s">
        <v>401</v>
      </c>
      <c r="D151" s="23" t="s">
        <v>258</v>
      </c>
      <c r="E151" s="23" t="s">
        <v>18</v>
      </c>
      <c r="F151" s="23" t="s">
        <v>367</v>
      </c>
    </row>
    <row r="152" spans="1:6" x14ac:dyDescent="0.25">
      <c r="A152" s="29" t="s">
        <v>244</v>
      </c>
      <c r="B152" s="29" t="s">
        <v>348</v>
      </c>
      <c r="C152" s="29" t="s">
        <v>401</v>
      </c>
      <c r="D152" s="29" t="s">
        <v>437</v>
      </c>
      <c r="E152" s="29" t="s">
        <v>428</v>
      </c>
      <c r="F152" s="29" t="s">
        <v>360</v>
      </c>
    </row>
    <row r="153" spans="1:6" x14ac:dyDescent="0.25">
      <c r="A153" s="23" t="s">
        <v>244</v>
      </c>
      <c r="B153" s="23" t="s">
        <v>331</v>
      </c>
      <c r="C153" s="23" t="s">
        <v>402</v>
      </c>
      <c r="D153" s="23" t="s">
        <v>438</v>
      </c>
      <c r="E153" s="23" t="s">
        <v>18</v>
      </c>
      <c r="F153" s="23" t="s">
        <v>368</v>
      </c>
    </row>
    <row r="154" spans="1:6" x14ac:dyDescent="0.25">
      <c r="A154" s="29" t="s">
        <v>244</v>
      </c>
      <c r="B154" s="29" t="s">
        <v>348</v>
      </c>
      <c r="C154" s="29" t="s">
        <v>402</v>
      </c>
      <c r="D154" s="29" t="s">
        <v>265</v>
      </c>
      <c r="E154" s="29" t="s">
        <v>18</v>
      </c>
      <c r="F154" s="29" t="s">
        <v>364</v>
      </c>
    </row>
    <row r="155" spans="1:6" x14ac:dyDescent="0.25">
      <c r="A155" s="23" t="s">
        <v>244</v>
      </c>
      <c r="B155" s="23" t="s">
        <v>331</v>
      </c>
      <c r="C155" s="23" t="s">
        <v>392</v>
      </c>
      <c r="D155" s="23" t="s">
        <v>260</v>
      </c>
      <c r="E155" s="23" t="s">
        <v>428</v>
      </c>
      <c r="F155" s="23"/>
    </row>
    <row r="156" spans="1:6" x14ac:dyDescent="0.25">
      <c r="A156" s="29" t="s">
        <v>244</v>
      </c>
      <c r="B156" s="29" t="s">
        <v>348</v>
      </c>
      <c r="C156" s="29" t="s">
        <v>392</v>
      </c>
      <c r="D156" s="29" t="s">
        <v>275</v>
      </c>
      <c r="E156" s="29" t="s">
        <v>18</v>
      </c>
      <c r="F156" s="29"/>
    </row>
    <row r="157" spans="1:6" x14ac:dyDescent="0.25">
      <c r="A157" s="23" t="s">
        <v>244</v>
      </c>
      <c r="B157" s="23" t="s">
        <v>331</v>
      </c>
      <c r="C157" s="23" t="s">
        <v>397</v>
      </c>
      <c r="D157" s="23" t="s">
        <v>253</v>
      </c>
      <c r="E157" s="23" t="s">
        <v>18</v>
      </c>
      <c r="F157" s="23"/>
    </row>
    <row r="158" spans="1:6" x14ac:dyDescent="0.25">
      <c r="A158" s="29" t="s">
        <v>244</v>
      </c>
      <c r="B158" s="29" t="s">
        <v>347</v>
      </c>
      <c r="C158" s="29" t="s">
        <v>44</v>
      </c>
      <c r="D158" s="29" t="s">
        <v>279</v>
      </c>
      <c r="E158" s="29" t="s">
        <v>18</v>
      </c>
      <c r="F158" s="29" t="s">
        <v>368</v>
      </c>
    </row>
    <row r="159" spans="1:6" x14ac:dyDescent="0.25">
      <c r="A159" s="23" t="s">
        <v>244</v>
      </c>
      <c r="B159" s="23" t="s">
        <v>331</v>
      </c>
      <c r="C159" s="23" t="s">
        <v>395</v>
      </c>
      <c r="D159" s="23" t="s">
        <v>256</v>
      </c>
      <c r="E159" s="23" t="s">
        <v>18</v>
      </c>
      <c r="F159" s="23" t="s">
        <v>360</v>
      </c>
    </row>
    <row r="160" spans="1:6" x14ac:dyDescent="0.25">
      <c r="A160" s="29" t="s">
        <v>244</v>
      </c>
      <c r="B160" s="29" t="s">
        <v>347</v>
      </c>
      <c r="C160" s="29" t="s">
        <v>46</v>
      </c>
      <c r="D160" s="29" t="s">
        <v>257</v>
      </c>
      <c r="E160" s="29" t="s">
        <v>18</v>
      </c>
      <c r="F160" s="29" t="s">
        <v>360</v>
      </c>
    </row>
    <row r="161" spans="1:6" x14ac:dyDescent="0.25">
      <c r="A161" s="23" t="s">
        <v>244</v>
      </c>
      <c r="B161" s="23" t="s">
        <v>331</v>
      </c>
      <c r="C161" s="23" t="s">
        <v>396</v>
      </c>
      <c r="D161" s="23" t="s">
        <v>439</v>
      </c>
      <c r="E161" s="23" t="s">
        <v>18</v>
      </c>
      <c r="F161" s="23" t="s">
        <v>360</v>
      </c>
    </row>
    <row r="162" spans="1:6" x14ac:dyDescent="0.25">
      <c r="A162" s="29" t="s">
        <v>244</v>
      </c>
      <c r="B162" s="29" t="s">
        <v>347</v>
      </c>
      <c r="C162" s="29" t="s">
        <v>396</v>
      </c>
      <c r="D162" s="29" t="s">
        <v>280</v>
      </c>
      <c r="E162" s="29"/>
      <c r="F162" s="29"/>
    </row>
    <row r="163" spans="1:6" x14ac:dyDescent="0.25">
      <c r="A163" s="23" t="s">
        <v>244</v>
      </c>
      <c r="B163" s="23" t="s">
        <v>369</v>
      </c>
      <c r="C163" s="23" t="s">
        <v>42</v>
      </c>
      <c r="D163" s="23" t="s">
        <v>270</v>
      </c>
      <c r="E163" s="23" t="s">
        <v>18</v>
      </c>
      <c r="F163" s="23" t="s">
        <v>370</v>
      </c>
    </row>
    <row r="164" spans="1:6" x14ac:dyDescent="0.25">
      <c r="A164" s="29" t="s">
        <v>244</v>
      </c>
      <c r="B164" s="29" t="s">
        <v>371</v>
      </c>
      <c r="C164" s="29" t="s">
        <v>43</v>
      </c>
      <c r="D164" s="29" t="s">
        <v>272</v>
      </c>
      <c r="E164" s="29" t="s">
        <v>18</v>
      </c>
      <c r="F164" s="29"/>
    </row>
    <row r="165" spans="1:6" x14ac:dyDescent="0.25">
      <c r="A165" s="23" t="s">
        <v>244</v>
      </c>
      <c r="B165" s="23" t="s">
        <v>372</v>
      </c>
      <c r="C165" s="23" t="s">
        <v>43</v>
      </c>
      <c r="D165" s="23" t="s">
        <v>246</v>
      </c>
      <c r="E165" s="23" t="s">
        <v>20</v>
      </c>
      <c r="F165" s="23"/>
    </row>
    <row r="167" spans="1:6" x14ac:dyDescent="0.25">
      <c r="A167" s="33" t="s">
        <v>440</v>
      </c>
    </row>
  </sheetData>
  <sheetProtection algorithmName="SHA-512" hashValue="t3trrML4KTwNAAkdv/y2c5HMxylMVhYkpIvv9SAW/Ua3N8d3uEPqnNrwIRttJsrWvx7K74S5XutH2FIVw733xw==" saltValue="yXQM+4R34m7PRsI11EXUgg==" spinCount="100000" sheet="1" scenarios="1" formatCells="0" formatColumns="0" formatRows="0" insertColumns="0" insertRows="0" insertHyperlinks="0" deleteColumns="0" deleteRows="0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Monthly Summary</vt:lpstr>
      <vt:lpstr>Lecture Hall Availability</vt:lpstr>
      <vt:lpstr>Hall Availability Search</vt:lpstr>
      <vt:lpstr>Class Schedule Analysis</vt:lpstr>
      <vt:lpstr>Monthly Occurrences (Support)</vt:lpstr>
      <vt:lpstr>Completed vs Planned</vt:lpstr>
      <vt:lpstr>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Kavindu Silpage</cp:lastModifiedBy>
  <cp:revision>4</cp:revision>
  <dcterms:created xsi:type="dcterms:W3CDTF">2026-08-09T09:14:20Z</dcterms:created>
  <dcterms:modified xsi:type="dcterms:W3CDTF">2026-09-08T04:00:01Z</dcterms:modified>
  <dc:language>en-US</dc:language>
</cp:coreProperties>
</file>